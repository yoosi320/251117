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YOOSI\project\NaverCommerceProject\"/>
    </mc:Choice>
  </mc:AlternateContent>
  <xr:revisionPtr revIDLastSave="0" documentId="13_ncr:1_{68561E1C-98E9-4D29-8EC0-C5514EE981A1}" xr6:coauthVersionLast="47" xr6:coauthVersionMax="47" xr10:uidLastSave="{00000000-0000-0000-0000-000000000000}"/>
  <bookViews>
    <workbookView xWindow="8150" yWindow="1930" windowWidth="2306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1" i="1" l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343" i="1"/>
  <c r="B344" i="1"/>
  <c r="B345" i="1"/>
  <c r="B346" i="1"/>
  <c r="B347" i="1"/>
  <c r="B348" i="1"/>
  <c r="B349" i="1"/>
  <c r="B350" i="1"/>
  <c r="B342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<sst xmlns="http://schemas.openxmlformats.org/spreadsheetml/2006/main" count="4992" uniqueCount="2554">
  <si>
    <t>addressBookNo</t>
  </si>
  <si>
    <t>name</t>
  </si>
  <si>
    <t>addressType</t>
  </si>
  <si>
    <t>postalCode</t>
  </si>
  <si>
    <t>baseAddress</t>
  </si>
  <si>
    <t>detailAddress</t>
  </si>
  <si>
    <t>address</t>
  </si>
  <si>
    <t>phoneNumber1</t>
  </si>
  <si>
    <t>phoneNumber2</t>
  </si>
  <si>
    <t>hasLocation</t>
  </si>
  <si>
    <t>roadNameAddress</t>
  </si>
  <si>
    <t>overseasAddress</t>
  </si>
  <si>
    <t>월드스카이</t>
  </si>
  <si>
    <t>RELEASE</t>
  </si>
  <si>
    <t>01081</t>
  </si>
  <si>
    <t>서울특별시 강북구</t>
  </si>
  <si>
    <t>수유로 50 (젬스톤타워) 4층</t>
  </si>
  <si>
    <t xml:space="preserve">서울특별시 강북구 수유로 50 (젬스톤타워) 4층 (우 : 01081) </t>
  </si>
  <si>
    <t>02-706-3322</t>
  </si>
  <si>
    <t>REFUND_OR_EXCHANGE</t>
  </si>
  <si>
    <t>코리아사이언스</t>
  </si>
  <si>
    <t>GENERAL</t>
  </si>
  <si>
    <t>46291</t>
  </si>
  <si>
    <t>부산광역시 금정구</t>
  </si>
  <si>
    <t>금정로68번길 31-4 코리아사이언스</t>
  </si>
  <si>
    <t xml:space="preserve">부산광역시 금정구 금정로68번길 31-4 코리아사이언스 (우 : 46291) </t>
  </si>
  <si>
    <t>051-514-0777</t>
  </si>
  <si>
    <t>010-6814-2229</t>
  </si>
  <si>
    <t>엠케이엔컴퍼니</t>
  </si>
  <si>
    <t>01309</t>
  </si>
  <si>
    <t>서울특별시 도봉구</t>
  </si>
  <si>
    <t>도봉로157길 11 센트스틱 102호</t>
  </si>
  <si>
    <t xml:space="preserve">서울특별시 도봉구 도봉로157길 11 센트스틱 102호 (우 : 01309) </t>
  </si>
  <si>
    <t>010-8703-7043</t>
  </si>
  <si>
    <t>룸앤오피스</t>
  </si>
  <si>
    <t>10008</t>
  </si>
  <si>
    <t>경기도 김포시 하성면</t>
  </si>
  <si>
    <t>석평로15번길 194 룸앤오피스</t>
  </si>
  <si>
    <t xml:space="preserve">경기도 김포시 하성면 석평로15번길 194 룸앤오피스 (우 : 10008) </t>
  </si>
  <si>
    <t>1588-0384</t>
  </si>
  <si>
    <t>치치쿠쿠</t>
  </si>
  <si>
    <t>10119</t>
  </si>
  <si>
    <t>경기도 김포시</t>
  </si>
  <si>
    <t>풍무로69번길 47 (당곡마을월드메르디앙아파트) 317동 304호</t>
  </si>
  <si>
    <t xml:space="preserve">경기도 김포시 풍무로69번길 47 (당곡마을월드메르디앙아파트) 317동 304호 (우 : 10119) </t>
  </si>
  <si>
    <t>1660-2028</t>
  </si>
  <si>
    <t>피스자동주유기</t>
  </si>
  <si>
    <t>22532</t>
  </si>
  <si>
    <t>인천광역시 동구</t>
  </si>
  <si>
    <t>방축로191번길 24 ((주)피스) 2층 미래사업부</t>
  </si>
  <si>
    <t xml:space="preserve">인천광역시 동구 방축로191번길 24 ((주)피스) 2층 미래사업부 (우 : 22532) </t>
  </si>
  <si>
    <t>010-2737-5422</t>
  </si>
  <si>
    <t>썬헬스케어</t>
  </si>
  <si>
    <t>06677</t>
  </si>
  <si>
    <t>서울특별시 서초구</t>
  </si>
  <si>
    <t>동작대로 68 (신진오피스) 신진빌딩4층 썬헬스케어</t>
  </si>
  <si>
    <t xml:space="preserve">서울특별시 서초구 동작대로 68 (신진오피스) 신진빌딩4층 썬헬스케어 (우 : 06677) </t>
  </si>
  <si>
    <t>02-598-9151</t>
  </si>
  <si>
    <t>pickers전동데스크</t>
  </si>
  <si>
    <t>14084</t>
  </si>
  <si>
    <t>경기도 안양시 만안구</t>
  </si>
  <si>
    <t>덕천로152번길 25 (안양아이에스BIZ타워센트럴) B동 1818B호</t>
  </si>
  <si>
    <t xml:space="preserve">경기도 안양시 만안구 덕천로152번길 25 (안양아이에스BIZ타워센트럴) B동 1818B호 (우 : 14084) </t>
  </si>
  <si>
    <t>070-8064-0219</t>
  </si>
  <si>
    <t>도매직방</t>
  </si>
  <si>
    <t>50561</t>
  </si>
  <si>
    <t>경상남도 양산시 상북면</t>
  </si>
  <si>
    <t>석계산단6길 87 (주)아크 도매직방</t>
  </si>
  <si>
    <t xml:space="preserve">경상남도 양산시 상북면 석계산단6길 87 (주)아크 도매직방 (우 : 50561) </t>
  </si>
  <si>
    <t>1544-9631</t>
  </si>
  <si>
    <t>엔산마운트</t>
  </si>
  <si>
    <t>04367</t>
  </si>
  <si>
    <t>서울특별시 용산구</t>
  </si>
  <si>
    <t>원효로 174 (엔산빌딩) (주)엔산마운트</t>
  </si>
  <si>
    <t xml:space="preserve">서울특별시 용산구 원효로 174 (엔산빌딩) (주)엔산마운트 (우 : 04367) </t>
  </si>
  <si>
    <t>02-707-0331</t>
  </si>
  <si>
    <t>와이에스글로벌</t>
  </si>
  <si>
    <t>12073</t>
  </si>
  <si>
    <t>경기도 남양주시 진접읍</t>
  </si>
  <si>
    <t>양진로 962 (현대택배(주)남양주터미널) 롯데택배 교문대리점</t>
  </si>
  <si>
    <t xml:space="preserve">경기도 남양주시 진접읍 양진로 962 (현대택배(주)남양주터미널) 롯데택배 교문대리점 (우 : 12073) </t>
  </si>
  <si>
    <t>031-566-6069</t>
  </si>
  <si>
    <t>씨라인</t>
  </si>
  <si>
    <t>14441</t>
  </si>
  <si>
    <t>경기도 부천시 오정구</t>
  </si>
  <si>
    <t>산업로7번길 63 (대보엔지니어링) 3층</t>
  </si>
  <si>
    <t xml:space="preserve">경기도 부천시 오정구 산업로7번길 63 (대보엔지니어링) 3층 (우 : 14441) </t>
  </si>
  <si>
    <t>031-5068-5535</t>
  </si>
  <si>
    <t>031-8068-5535</t>
  </si>
  <si>
    <t>더풍년 펴니따 고추수확</t>
  </si>
  <si>
    <t>27113</t>
  </si>
  <si>
    <t>충청북도 제천시 봉양읍</t>
  </si>
  <si>
    <t>주포로 84 더풍년</t>
  </si>
  <si>
    <t xml:space="preserve">충청북도 제천시 봉양읍 주포로 84 더풍년 (우 : 27113) </t>
  </si>
  <si>
    <t>010-9557-4010</t>
  </si>
  <si>
    <t>페이브컴퍼니카우치콘솔</t>
  </si>
  <si>
    <t>06047</t>
  </si>
  <si>
    <t>서울특별시 강남구</t>
  </si>
  <si>
    <t>논현로150길 19 3층 페이브컴퍼니</t>
  </si>
  <si>
    <t xml:space="preserve">서울특별시 강남구 논현로150길 19 3층 페이브컴퍼니 (우 : 06047) </t>
  </si>
  <si>
    <t>070-8844-5362</t>
  </si>
  <si>
    <t>캔스톤</t>
  </si>
  <si>
    <t>10939</t>
  </si>
  <si>
    <t>경기도 파주시 조리읍</t>
  </si>
  <si>
    <t>명봉산로79번길 44-93</t>
  </si>
  <si>
    <t xml:space="preserve">경기도 파주시 조리읍 명봉산로79번길 44-93 (우 : 10939) </t>
  </si>
  <si>
    <t>02-711-9654</t>
  </si>
  <si>
    <t>지성비즈</t>
  </si>
  <si>
    <t>14446</t>
  </si>
  <si>
    <t>신흥로511번길 80 (켄달스퀘어 부천 로지스틱스파크) 1층 A101-A109 CJ대한통운 오류명화대리점</t>
  </si>
  <si>
    <t xml:space="preserve">경기도 부천시 오정구 신흥로511번길 80 (켄달스퀘어 부천 로지스틱스파크) 1층 A101-A109 CJ대한통운 오류명화대리점 (우 : 14446) </t>
  </si>
  <si>
    <t>070-8867-3673</t>
  </si>
  <si>
    <t>씨브이티일렉토로닉</t>
  </si>
  <si>
    <t>13511</t>
  </si>
  <si>
    <t>경기도 성남시 분당구</t>
  </si>
  <si>
    <t>판교로 697 (분당테크노파크) A동 608-1호</t>
  </si>
  <si>
    <t xml:space="preserve">경기도 성남시 분당구 판교로 697 (분당테크노파크) A동 608-1호 (우 : 13511) </t>
  </si>
  <si>
    <t>031-781-0824</t>
  </si>
  <si>
    <t>우미이노베이션</t>
  </si>
  <si>
    <t>06052</t>
  </si>
  <si>
    <t>논현로136길 6 삼대양빌딩2층</t>
  </si>
  <si>
    <t xml:space="preserve">서울특별시 강남구 논현로136길 6 삼대양빌딩2층 (우 : 06052) </t>
  </si>
  <si>
    <t>삼신이앤비</t>
  </si>
  <si>
    <t>04316</t>
  </si>
  <si>
    <t>원효로 233 1층 삼신이앤비</t>
  </si>
  <si>
    <t xml:space="preserve">서울특별시 용산구 원효로 233 1층 삼신이앤비 (우 : 04316) </t>
  </si>
  <si>
    <t>02-777-4741</t>
  </si>
  <si>
    <t>카멜마운트핏쳐책상</t>
  </si>
  <si>
    <t>08589</t>
  </si>
  <si>
    <t>서울특별시 금천구</t>
  </si>
  <si>
    <t>가산디지털1로 75-24 (가산 아이에스비즈타워) 지하 1층 118호 카멜마운트</t>
  </si>
  <si>
    <t xml:space="preserve">서울특별시 금천구 가산디지털1로 75-24 (가산 아이에스비즈타워) 지하 1층 118호 카멜마운트 (우 : 08589) </t>
  </si>
  <si>
    <t>1811-4493</t>
  </si>
  <si>
    <t>우애스크 통역기</t>
  </si>
  <si>
    <t>08507</t>
  </si>
  <si>
    <t>가산디지털1로 168 (우림라이온스밸리) C동 1406호</t>
  </si>
  <si>
    <t xml:space="preserve">서울특별시 금천구 가산디지털1로 168 (우림라이온스밸리) C동 1406호 (우 : 08507) </t>
  </si>
  <si>
    <t>070-4708-3832</t>
  </si>
  <si>
    <t>도매풀방한장갑</t>
  </si>
  <si>
    <t>10313</t>
  </si>
  <si>
    <t>경기도 고양시 일산동구</t>
  </si>
  <si>
    <t>성현로268번길 65-22 도매풀</t>
  </si>
  <si>
    <t xml:space="preserve">경기도 고양시 일산동구 성현로268번길 65-22 도매풀 (우 : 10313) </t>
  </si>
  <si>
    <t>031-994-0061</t>
  </si>
  <si>
    <t>EFUN빔프로젝터</t>
  </si>
  <si>
    <t>05099</t>
  </si>
  <si>
    <t>서울특별시 광진구</t>
  </si>
  <si>
    <t>뚝섬로 622-1 햇빛빌딩 3층 빔테크</t>
  </si>
  <si>
    <t xml:space="preserve">서울특별시 광진구 뚝섬로 622-1 햇빛빌딩 3층 빔테크 (우 : 05099) </t>
  </si>
  <si>
    <t>02-6085-1100</t>
  </si>
  <si>
    <t>한일의료기꽃잠매트</t>
  </si>
  <si>
    <t>61067</t>
  </si>
  <si>
    <t>광주광역시 북구</t>
  </si>
  <si>
    <t>하서로216번길 2 한일의료기</t>
  </si>
  <si>
    <t xml:space="preserve">광주광역시 북구 하서로216번길 2 한일의료기 (우 : 61067) </t>
  </si>
  <si>
    <t>070-8877-8040</t>
  </si>
  <si>
    <t>에이블펙토리 작업화</t>
  </si>
  <si>
    <t>11517</t>
  </si>
  <si>
    <t>경기도 양주시 백석읍</t>
  </si>
  <si>
    <t>권율로1203번길 39-29 가동 에이블펙토리</t>
  </si>
  <si>
    <t xml:space="preserve">경기도 양주시 백석읍 권율로1203번길 39-29 가동 에이블펙토리 (우 : 11517) </t>
  </si>
  <si>
    <t>070-4108-3330</t>
  </si>
  <si>
    <t>라이트토크 라이트퀸</t>
  </si>
  <si>
    <t>14327</t>
  </si>
  <si>
    <t>경기도 광명시</t>
  </si>
  <si>
    <t>오리로 362 (창업지원센터) 6층(주)라이트토크</t>
  </si>
  <si>
    <t xml:space="preserve">경기도 광명시 오리로 362 (창업지원센터) 6층(주)라이트토크 (우 : 14327) </t>
  </si>
  <si>
    <t>02-2688-1469</t>
  </si>
  <si>
    <t>이룸글로비즈</t>
  </si>
  <si>
    <t>10090</t>
  </si>
  <si>
    <t>태장로 741 경동 미르웰시티 335호</t>
  </si>
  <si>
    <t xml:space="preserve">경기도 김포시 태장로 741 경동 미르웰시티 335호 (우 : 10090) </t>
  </si>
  <si>
    <t>031-998-1002</t>
  </si>
  <si>
    <t>빅케이스테크놀러지코리아</t>
  </si>
  <si>
    <t>21655</t>
  </si>
  <si>
    <t>인천광역시 남동구</t>
  </si>
  <si>
    <t>호구포로 194 더미크원 812,813호</t>
  </si>
  <si>
    <t xml:space="preserve">인천광역시 남동구 호구포로 194 더미크원 812,813호 (우 : 21655) </t>
  </si>
  <si>
    <t>032-299-1555</t>
  </si>
  <si>
    <t>010-9696-6552</t>
  </si>
  <si>
    <t>그린부화기</t>
  </si>
  <si>
    <t>26414</t>
  </si>
  <si>
    <t>강원특별자치도 원주시</t>
  </si>
  <si>
    <t>학성철길 55 그린부화기</t>
  </si>
  <si>
    <t xml:space="preserve">강원특별자치도 원주시 학성철길 55 그린부화기 (우 : 26414) </t>
  </si>
  <si>
    <t>070-7561-0485</t>
  </si>
  <si>
    <t>플커컴퍼니</t>
  </si>
  <si>
    <t>07904</t>
  </si>
  <si>
    <t>서울특별시 양천구</t>
  </si>
  <si>
    <t>화곡로8길 8-3 2층</t>
  </si>
  <si>
    <t xml:space="preserve">서울특별시 양천구 화곡로8길 8-3 2층 (우 : 07904) </t>
  </si>
  <si>
    <t>010-9045-9266</t>
  </si>
  <si>
    <t>070-8098-4172</t>
  </si>
  <si>
    <t>샤인오션</t>
  </si>
  <si>
    <t>06973</t>
  </si>
  <si>
    <t>서울특별시 동작구</t>
  </si>
  <si>
    <t>서달로 123 (롯데캐슬 에듀포레) 107-502 (주)샤인오션</t>
  </si>
  <si>
    <t xml:space="preserve">서울특별시 동작구 서달로 123 (롯데캐슬 에듀포레) 107-502 (주)샤인오션 (우 : 06973) </t>
  </si>
  <si>
    <t>010-3489-5698</t>
  </si>
  <si>
    <t>휴라인텍개인용공기청정기</t>
  </si>
  <si>
    <t>14058</t>
  </si>
  <si>
    <t>경기도 안양시 동안구</t>
  </si>
  <si>
    <t>벌말로 66 (평촌역 하이필드) 지식산업센터 B동 704호</t>
  </si>
  <si>
    <t xml:space="preserve">경기도 안양시 동안구 벌말로 66 (평촌역 하이필드) 지식산업센터 B동 704호 (우 : 14058) </t>
  </si>
  <si>
    <t>031-8084-9604</t>
  </si>
  <si>
    <t>신안전자노래방기계</t>
  </si>
  <si>
    <t>04545</t>
  </si>
  <si>
    <t>서울특별시 중구</t>
  </si>
  <si>
    <t>청계천로 160 (세운청계상가) 다-106호(산림동)</t>
  </si>
  <si>
    <t xml:space="preserve">서울특별시 중구 청계천로 160 (세운청계상가) 다-106호(산림동) (우 : 04545) </t>
  </si>
  <si>
    <t>010-3893-8223</t>
  </si>
  <si>
    <t>히트조명</t>
  </si>
  <si>
    <t>46702</t>
  </si>
  <si>
    <t>부산광역시 강서구</t>
  </si>
  <si>
    <t xml:space="preserve">대저로221번길 67-2 </t>
  </si>
  <si>
    <t xml:space="preserve">부산광역시 강서구 대저로221번길 67-2 (우 : 46702) </t>
  </si>
  <si>
    <t>070-4735-8808</t>
  </si>
  <si>
    <t>라헨느코리아</t>
  </si>
  <si>
    <t>05398</t>
  </si>
  <si>
    <t>서울특별시 강동구</t>
  </si>
  <si>
    <t>성내로6길 14-16 (토성빌딩) 4층 토성빌딩</t>
  </si>
  <si>
    <t xml:space="preserve">서울특별시 강동구 성내로6길 14-16 (토성빌딩) 4층 토성빌딩 (우 : 05398) </t>
  </si>
  <si>
    <t>1899-8311</t>
  </si>
  <si>
    <t>빔테크EFUN빔프로젝터</t>
  </si>
  <si>
    <t>뚝섬로 622-1 3층 301호</t>
  </si>
  <si>
    <t xml:space="preserve">서울특별시 광진구 뚝섬로 622-1 3층 301호 (우 : 05099) </t>
  </si>
  <si>
    <t>디모토파티션</t>
  </si>
  <si>
    <t>22850</t>
  </si>
  <si>
    <t>인천광역시 서구</t>
  </si>
  <si>
    <t>정서진8로 5 디모토</t>
  </si>
  <si>
    <t xml:space="preserve">인천광역시 서구 정서진8로 5 디모토 (우 : 22850) </t>
  </si>
  <si>
    <t>032-563-9007</t>
  </si>
  <si>
    <t>더무제북스캐너</t>
  </si>
  <si>
    <t>04083</t>
  </si>
  <si>
    <t>서울특별시 마포구</t>
  </si>
  <si>
    <t>토정로 49 201호 주식회사 더무제</t>
  </si>
  <si>
    <t xml:space="preserve">서울특별시 마포구 토정로 49 201호 주식회사 더무제 (우 : 04083) </t>
  </si>
  <si>
    <t>02-565-1307</t>
  </si>
  <si>
    <t>라이트맨</t>
  </si>
  <si>
    <t>22793</t>
  </si>
  <si>
    <t>거북로 17 (인천테크피아) 가동 705호 라이트맨</t>
  </si>
  <si>
    <t xml:space="preserve">인천광역시 서구 거북로 17 (인천테크피아) 가동 705호 라이트맨 (우 : 22793) </t>
  </si>
  <si>
    <t>032-573-4783</t>
  </si>
  <si>
    <t>한경INS위드매트</t>
  </si>
  <si>
    <t>12721</t>
  </si>
  <si>
    <t>경기도 광주시 곤지암읍</t>
  </si>
  <si>
    <t>신만로 495 한경INS</t>
  </si>
  <si>
    <t xml:space="preserve">경기도 광주시 곤지암읍 신만로 495 한경INS (우 : 12721) </t>
  </si>
  <si>
    <t>010-3621-0901</t>
  </si>
  <si>
    <t>머레이코리아</t>
  </si>
  <si>
    <t>10437</t>
  </si>
  <si>
    <t>경기도 고양시 덕양구</t>
  </si>
  <si>
    <t>호수로71번길 54 머레이코리아빌딩</t>
  </si>
  <si>
    <t xml:space="preserve">경기도 고양시 덕양구 호수로71번길 54 머레이코리아빌딩 (우 : 10437) </t>
  </si>
  <si>
    <t>031-971-8841</t>
  </si>
  <si>
    <t>알리패스전자담배</t>
  </si>
  <si>
    <t>30123</t>
  </si>
  <si>
    <t>세종특별자치시</t>
  </si>
  <si>
    <t>다정북로 180 (가온마을8단지) 801동 201호</t>
  </si>
  <si>
    <t xml:space="preserve">세종특별자치시 다정북로 180 (가온마을8단지) 801동 201호 (우 : 30123) </t>
  </si>
  <si>
    <t>010-2140-2050</t>
  </si>
  <si>
    <t>푸시풀CCTV</t>
  </si>
  <si>
    <t>30067</t>
  </si>
  <si>
    <t>세종특별자치시 연동면</t>
  </si>
  <si>
    <t>태산로 71-96 푸시풀CCTV</t>
  </si>
  <si>
    <t xml:space="preserve">세종특별자치시 연동면 태산로 71-96 푸시풀CCTV (우 : 30067) </t>
  </si>
  <si>
    <t>070-7864-4516</t>
  </si>
  <si>
    <t>태산로 71-96 주식회사푸시풀</t>
  </si>
  <si>
    <t xml:space="preserve">세종특별자치시 연동면 태산로 71-96 주식회사푸시풀 (우 : 30067) </t>
  </si>
  <si>
    <t>파스텔우드</t>
  </si>
  <si>
    <t>50853</t>
  </si>
  <si>
    <t>경상남도 김해시 한림면</t>
  </si>
  <si>
    <t>김해대로 1558-14 파스텔우드</t>
  </si>
  <si>
    <t xml:space="preserve">경상남도 김해시 한림면 김해대로 1558-14 파스텔우드 (우 : 50853) </t>
  </si>
  <si>
    <t>055-336-1140</t>
  </si>
  <si>
    <t>림피아디스플레이</t>
  </si>
  <si>
    <t>49307</t>
  </si>
  <si>
    <t>부산광역시 사하구</t>
  </si>
  <si>
    <t>낙동대로535번길 42 2층 림피아디스플레이</t>
  </si>
  <si>
    <t xml:space="preserve">부산광역시 사하구 낙동대로535번길 42 2층 림피아디스플레이 (우 : 49307) </t>
  </si>
  <si>
    <t>070-8229-6849</t>
  </si>
  <si>
    <t>레브커머스</t>
  </si>
  <si>
    <t>38870</t>
  </si>
  <si>
    <t>경상북도 영천시 청통면</t>
  </si>
  <si>
    <t>청통로 428-32 (주)GSAKD/CJ택배</t>
  </si>
  <si>
    <t xml:space="preserve">경상북도 영천시 청통면 청통로 428-32 (주)GSAKD/CJ택배 (우 : 38870) </t>
  </si>
  <si>
    <t>02-884-1490</t>
  </si>
  <si>
    <t>주식회사엠앤제이실버스타</t>
  </si>
  <si>
    <t>10048</t>
  </si>
  <si>
    <t>경기도 김포시 양촌읍</t>
  </si>
  <si>
    <t>황금로 117 (이젠 아파트형 공장) 메카존 나동 607-611호</t>
  </si>
  <si>
    <t xml:space="preserve">경기도 김포시 양촌읍 황금로 117 (이젠 아파트형 공장) 메카존 나동 607-611호 (우 : 10048) </t>
  </si>
  <si>
    <t>031-984-6117</t>
  </si>
  <si>
    <t>몬탑1구인덕션</t>
  </si>
  <si>
    <t>10071</t>
  </si>
  <si>
    <t>김포한강10로133번길 126 김포더럭스나인 A동 5층</t>
  </si>
  <si>
    <t xml:space="preserve">경기도 김포시 김포한강10로133번길 126 김포더럭스나인 A동 5층 (우 : 10071) </t>
  </si>
  <si>
    <t>031-992-0136</t>
  </si>
  <si>
    <t>424컴퍼니어린이텀블러</t>
  </si>
  <si>
    <t>28513</t>
  </si>
  <si>
    <t>충청북도 청주시 상당구</t>
  </si>
  <si>
    <t>교동로71번길 7 424컴퍼니</t>
  </si>
  <si>
    <t xml:space="preserve">충청북도 청주시 상당구 교동로71번길 7 424컴퍼니 (우 : 28513) </t>
  </si>
  <si>
    <t>010-5097-7896</t>
  </si>
  <si>
    <t>하이노크아이큐닉스키보드</t>
  </si>
  <si>
    <t>01660</t>
  </si>
  <si>
    <t>서울특별시 노원구</t>
  </si>
  <si>
    <t>한글비석로24자길 2 좌측 1층 하이노크</t>
  </si>
  <si>
    <t xml:space="preserve">서울특별시 노원구 한글비석로24자길 2 좌측 1층 하이노크 (우 : 01660) </t>
  </si>
  <si>
    <t>070-7604-8274</t>
  </si>
  <si>
    <t>기찬하이테크봉돌이그릴</t>
  </si>
  <si>
    <t>경기도 부천시</t>
  </si>
  <si>
    <t>오정로211번길 39-5 (주)기찬하이테크</t>
  </si>
  <si>
    <t xml:space="preserve">경기도 부천시 오정로211번길 39-5 (주)기찬하이테크 (우 : 14441) </t>
  </si>
  <si>
    <t>032-677-0745</t>
  </si>
  <si>
    <t>씨더코퍼레이션</t>
  </si>
  <si>
    <t>39185</t>
  </si>
  <si>
    <t>경상북도 구미시</t>
  </si>
  <si>
    <t>옥계북로 36 (메디칼타워) 8층 2호</t>
  </si>
  <si>
    <t xml:space="preserve">경상북도 구미시 옥계북로 36 (메디칼타워) 8층 2호 (우 : 39185) </t>
  </si>
  <si>
    <t>010-9805-0165</t>
  </si>
  <si>
    <t>이선디지탈모니터</t>
  </si>
  <si>
    <t>04371</t>
  </si>
  <si>
    <t>새창로 181 (선인상가) 21동 4층 45호</t>
  </si>
  <si>
    <t xml:space="preserve">서울특별시 용산구 새창로 181 (선인상가) 21동 4층 45호 (우 : 04371) </t>
  </si>
  <si>
    <t>02-703-6958</t>
  </si>
  <si>
    <t>모아봄</t>
  </si>
  <si>
    <t>14668</t>
  </si>
  <si>
    <t>지봉로121번길 10 (공존펠리체) 201호</t>
  </si>
  <si>
    <t xml:space="preserve">경기도 부천시 지봉로121번길 10 (공존펠리체) 201호 (우 : 14668) </t>
  </si>
  <si>
    <t>070-8613-8989</t>
  </si>
  <si>
    <t>솔로니</t>
  </si>
  <si>
    <t>12106</t>
  </si>
  <si>
    <t>경기도 남양주시</t>
  </si>
  <si>
    <t>순화궁로 249 (별내역 파라곤스퀘어) M동 1410호</t>
  </si>
  <si>
    <t xml:space="preserve">경기도 남양주시 순화궁로 249 (별내역 파라곤스퀘어) M동 1410호 (우 : 12106) </t>
  </si>
  <si>
    <t>1566-5640</t>
  </si>
  <si>
    <t>바나나B2B</t>
  </si>
  <si>
    <t>11813</t>
  </si>
  <si>
    <t>경기도 의정부시</t>
  </si>
  <si>
    <t>오목로205번길 35 (진산프라자투) 진산프라자 4층</t>
  </si>
  <si>
    <t xml:space="preserve">경기도 의정부시 오목로205번길 35 (진산프라자투) 진산프라자 4층 (우 : 11813) </t>
  </si>
  <si>
    <t>070-4367-2975</t>
  </si>
  <si>
    <t>주식회사웰리스</t>
  </si>
  <si>
    <t>07217</t>
  </si>
  <si>
    <t>서울특별시 영등포구</t>
  </si>
  <si>
    <t>당산로 171 (금강 펜테리움 IT타워) 1502호</t>
  </si>
  <si>
    <t xml:space="preserve">서울특별시 영등포구 당산로 171 (금강 펜테리움 IT타워) 1502호 (우 : 07217) </t>
  </si>
  <si>
    <t>02-6671-8200</t>
  </si>
  <si>
    <t>지티생활건강</t>
  </si>
  <si>
    <t>11168</t>
  </si>
  <si>
    <t>경기도 포천시 가산면</t>
  </si>
  <si>
    <t>메나리길 65-14 지티생활건강</t>
  </si>
  <si>
    <t xml:space="preserve">경기도 포천시 가산면 메나리길 65-14 지티생활건강 (우 : 11168) </t>
  </si>
  <si>
    <t>031-544-3260</t>
  </si>
  <si>
    <t>에클리스</t>
  </si>
  <si>
    <t>10550</t>
  </si>
  <si>
    <t>삼원로 51 줌하이필드 323호</t>
  </si>
  <si>
    <t xml:space="preserve">경기도 고양시 덕양구 삼원로 51 줌하이필드 323호 (우 : 10550) </t>
  </si>
  <si>
    <t>031-816-3308</t>
  </si>
  <si>
    <t>위아인터내셔널주식회사</t>
  </si>
  <si>
    <t>08584</t>
  </si>
  <si>
    <t>두산로 70 (현대지식산업센터) 5층 529호</t>
  </si>
  <si>
    <t xml:space="preserve">서울특별시 금천구 두산로 70 (현대지식산업센터) 5층 529호 (우 : 08584) </t>
  </si>
  <si>
    <t>02-2135-1960</t>
  </si>
  <si>
    <t>장우컴퍼니</t>
  </si>
  <si>
    <t>청파로20길 34 (선인상가) 22동 7층 E01,E02호</t>
  </si>
  <si>
    <t xml:space="preserve">서울특별시 용산구 청파로20길 34 (선인상가) 22동 7층 E01,E02호 (우 : 04371) </t>
  </si>
  <si>
    <t>02-715-0701</t>
  </si>
  <si>
    <t>02-715-0702</t>
  </si>
  <si>
    <t>한솔일렉트로닉스</t>
  </si>
  <si>
    <t>31026</t>
  </si>
  <si>
    <t>충청남도 천안시 서북구 입장면</t>
  </si>
  <si>
    <t>연곡길 180-28</t>
  </si>
  <si>
    <t xml:space="preserve">충청남도 천안시 서북구 입장면 연곡길 180-28 (우 : 31026) </t>
  </si>
  <si>
    <t>031-341-8857</t>
  </si>
  <si>
    <t>이오테크</t>
  </si>
  <si>
    <t>04370</t>
  </si>
  <si>
    <t>청파로 113-6 (넥서스밸리) 806호</t>
  </si>
  <si>
    <t xml:space="preserve">서울특별시 용산구 청파로 113-6 (넥서스밸리) 806호 (우 : 04370) </t>
  </si>
  <si>
    <t>그린포러스</t>
  </si>
  <si>
    <t>04987</t>
  </si>
  <si>
    <t>능동로34길 120 생명과학관부속동 308호</t>
  </si>
  <si>
    <t xml:space="preserve">서울특별시 광진구 능동로34길 120 생명과학관부속동 308호 (우 : 04987) </t>
  </si>
  <si>
    <t>제노컴 우성씨텍</t>
  </si>
  <si>
    <t>14054</t>
  </si>
  <si>
    <t>시민대로 277 (세방글로벌시티) 19층 1901호</t>
  </si>
  <si>
    <t xml:space="preserve">경기도 안양시 동안구 시민대로 277 (세방글로벌시티) 19층 1901호 (우 : 14054) </t>
  </si>
  <si>
    <t>031-409-9366</t>
  </si>
  <si>
    <t>바르베로</t>
  </si>
  <si>
    <t>03980</t>
  </si>
  <si>
    <t>동교로51길 21-3 1층 101호</t>
  </si>
  <si>
    <t xml:space="preserve">서울특별시 마포구 동교로51길 21-3 1층 101호 (우 : 03980) </t>
  </si>
  <si>
    <t>070-7524-5729</t>
  </si>
  <si>
    <t>초이스테크놀로지</t>
  </si>
  <si>
    <t>21984</t>
  </si>
  <si>
    <t>인천광역시 연수구</t>
  </si>
  <si>
    <t>송도과학로 32 (송도테크노파크IT센터) S동 1404호</t>
  </si>
  <si>
    <t xml:space="preserve">인천광역시 연수구 송도과학로 32 (송도테크노파크IT센터) S동 1404호 (우 : 21984) </t>
  </si>
  <si>
    <t>070-7874-4507</t>
  </si>
  <si>
    <t>재원전자</t>
  </si>
  <si>
    <t>12262</t>
  </si>
  <si>
    <t>경춘로 368 (브릭스타워) 415호</t>
  </si>
  <si>
    <t xml:space="preserve">경기도 남양주시 경춘로 368 (브릭스타워) 415호 (우 : 12262) </t>
  </si>
  <si>
    <t>070-8786-7835</t>
  </si>
  <si>
    <t>빨간찜기호빵기계지노텍</t>
  </si>
  <si>
    <t>15415</t>
  </si>
  <si>
    <t>경기도 안산시 단원구</t>
  </si>
  <si>
    <t>별망로 39 (진양테크)</t>
  </si>
  <si>
    <t xml:space="preserve">경기도 안산시 단원구 별망로 39 (진양테크) (우 : 15415) </t>
  </si>
  <si>
    <t>010-9262-8301</t>
  </si>
  <si>
    <t>뷰소닉프로젝터</t>
  </si>
  <si>
    <t>11810</t>
  </si>
  <si>
    <t>승지로4번길 10 (거창프라자) 거창빌딩 2층</t>
  </si>
  <si>
    <t xml:space="preserve">경기도 의정부시 승지로4번길 10 (거창프라자) 거창빌딩 2층 (우 : 11810) </t>
  </si>
  <si>
    <t>080-850-2131</t>
  </si>
  <si>
    <t>1600-1822</t>
  </si>
  <si>
    <t>쓰리스타워킹쿡반합</t>
  </si>
  <si>
    <t>21449</t>
  </si>
  <si>
    <t>인천광역시 부평구</t>
  </si>
  <si>
    <t>백범로577번길 20 (경인센타) 공장동 551호</t>
  </si>
  <si>
    <t xml:space="preserve">인천광역시 부평구 백범로577번길 20 (경인센타) 공장동 551호 (우 : 21449) </t>
  </si>
  <si>
    <t>032-766-8700</t>
  </si>
  <si>
    <t>테리비즈한일탄소매트</t>
  </si>
  <si>
    <t>15865</t>
  </si>
  <si>
    <t>경기도 군포시</t>
  </si>
  <si>
    <t>번영로 505 (대우디오플러스) 디오플러스 1012호</t>
  </si>
  <si>
    <t xml:space="preserve">경기도 군포시 번영로 505 (대우디오플러스) 디오플러스 1012호 (우 : 15865) </t>
  </si>
  <si>
    <t>010-9419-1778</t>
  </si>
  <si>
    <t>로페코 단열시트</t>
  </si>
  <si>
    <t>10256</t>
  </si>
  <si>
    <t>지영로148번길 93 로페코</t>
  </si>
  <si>
    <t xml:space="preserve">경기도 고양시 일산동구 지영로148번길 93 로페코 (우 : 10256) </t>
  </si>
  <si>
    <t>031-975-1145</t>
  </si>
  <si>
    <t>제이에스피인터내셔날</t>
  </si>
  <si>
    <t>08506</t>
  </si>
  <si>
    <t>가산디지털2로 98 (IT캐슬) 롯데아이티캐슬 2동 1012호</t>
  </si>
  <si>
    <t xml:space="preserve">서울특별시 금천구 가산디지털2로 98 (IT캐슬) 롯데아이티캐슬 2동 1012호 (우 : 08506) </t>
  </si>
  <si>
    <t>02-6337-1600</t>
  </si>
  <si>
    <t>메타버스엠씨엔</t>
  </si>
  <si>
    <t>07327</t>
  </si>
  <si>
    <t>국제금융로2길 37 (S-TRENUE) 903호</t>
  </si>
  <si>
    <t xml:space="preserve">서울특별시 영등포구 국제금융로2길 37 (S-TRENUE) 903호 (우 : 07327) </t>
  </si>
  <si>
    <t>1522-4539</t>
  </si>
  <si>
    <t>룸엔오피스</t>
  </si>
  <si>
    <t>석평로15번길 194 룸엔오피스</t>
  </si>
  <si>
    <t xml:space="preserve">경기도 김포시 하성면 석평로15번길 194 룸엔오피스 (우 : 10008) </t>
  </si>
  <si>
    <t>1644-2268</t>
  </si>
  <si>
    <t>휴마테크휴마아이</t>
  </si>
  <si>
    <t>21985</t>
  </si>
  <si>
    <t>송도문화로 119 (인천글로벌캠퍼스) 복합문화센터 B1090호</t>
  </si>
  <si>
    <t xml:space="preserve">인천광역시 연수구 송도문화로 119 (인천글로벌캠퍼스) 복합문화센터 B1090호 (우 : 21985) </t>
  </si>
  <si>
    <t>032-272-4000</t>
  </si>
  <si>
    <t>프로젝터매니아</t>
  </si>
  <si>
    <t>07205</t>
  </si>
  <si>
    <t>양평로22길 21 (선유도 코오롱디지털타워) 511,512호</t>
  </si>
  <si>
    <t xml:space="preserve">서울특별시 영등포구 양평로22길 21 (선유도 코오롱디지털타워) 511,512호 (우 : 07205) </t>
  </si>
  <si>
    <t>02-3142-9492</t>
  </si>
  <si>
    <t>방씨아들과일</t>
  </si>
  <si>
    <t>12918</t>
  </si>
  <si>
    <t>경기도 하남시</t>
  </si>
  <si>
    <t>미사강변서로 25 (미사 테스타타워 지식산업센터) 공장동 F438호</t>
  </si>
  <si>
    <t xml:space="preserve">경기도 하남시 미사강변서로 25 (미사 테스타타워 지식산업센터) 공장동 F438호 (우 : 12918) </t>
  </si>
  <si>
    <t>010-6228-1186</t>
  </si>
  <si>
    <t>에코엠엔씨</t>
  </si>
  <si>
    <t>10583</t>
  </si>
  <si>
    <t>삼송로 305 3층 (주)에코엠엔씨</t>
  </si>
  <si>
    <t xml:space="preserve">경기도 고양시 덕양구 삼송로 305 3층 (주)에코엠엔씨 (우 : 10583) </t>
  </si>
  <si>
    <t>010-5065-8269</t>
  </si>
  <si>
    <t>마크노바</t>
  </si>
  <si>
    <t>13590</t>
  </si>
  <si>
    <t>황새울로 321 (비지니스호텔갤러리) 7층 마크노바</t>
  </si>
  <si>
    <t xml:space="preserve">경기도 성남시 분당구 황새울로 321 (비지니스호텔갤러리) 7층 마크노바 (우 : 13590) </t>
  </si>
  <si>
    <t>031-714-0454</t>
  </si>
  <si>
    <t>삼성비즈솔루션</t>
  </si>
  <si>
    <t>08591</t>
  </si>
  <si>
    <t>가산디지털1로 24 (대륭테크노타운13차) 1304호 삼성비즈솔루션</t>
  </si>
  <si>
    <t xml:space="preserve">서울특별시 금천구 가산디지털1로 24 (대륭테크노타운13차) 1304호 삼성비즈솔루션 (우 : 08591) </t>
  </si>
  <si>
    <t>02-701-1617</t>
  </si>
  <si>
    <t>전원실업 브리츠블루투스</t>
  </si>
  <si>
    <t>원효로58길 24 1층 전원실업</t>
  </si>
  <si>
    <t xml:space="preserve">서울특별시 용산구 원효로58길 24 1층 전원실업 (우 : 04367) </t>
  </si>
  <si>
    <t>010-3389-1606</t>
  </si>
  <si>
    <t>액센코리아</t>
  </si>
  <si>
    <t>06675</t>
  </si>
  <si>
    <t>서초대로4길 4 (대진빌딩) 3층 액센코리아</t>
  </si>
  <si>
    <t xml:space="preserve">서울특별시 서초구 서초대로4길 4 (대진빌딩) 3층 액센코리아 (우 : 06675) </t>
  </si>
  <si>
    <t>02-501-8461</t>
  </si>
  <si>
    <t>신우아이앤씨 핸드선풍기</t>
  </si>
  <si>
    <t>21062</t>
  </si>
  <si>
    <t>인천광역시 계양구</t>
  </si>
  <si>
    <t>용종로96번길 5 (용종빌딩) 3층 (주) 신우이앤씨</t>
  </si>
  <si>
    <t xml:space="preserve">인천광역시 계양구 용종로96번길 5 (용종빌딩) 3층 (주) 신우이앤씨 (우 : 21062) </t>
  </si>
  <si>
    <t>010-2909-9731</t>
  </si>
  <si>
    <t>제이디글로비즈</t>
  </si>
  <si>
    <t>10362</t>
  </si>
  <si>
    <t>대산로11번길 5-10 201호</t>
  </si>
  <si>
    <t xml:space="preserve">경기도 고양시 일산동구 대산로11번길 5-10 201호 (우 : 10362) </t>
  </si>
  <si>
    <t>010-2426-3313</t>
  </si>
  <si>
    <t>타르보 삼덕사 모기장</t>
  </si>
  <si>
    <t>42719</t>
  </si>
  <si>
    <t>대구광역시 달서구</t>
  </si>
  <si>
    <t>성서로35길 3 월성대리점내 타르보</t>
  </si>
  <si>
    <t xml:space="preserve">대구광역시 달서구 성서로35길 3 월성대리점내 타르보 (우 : 42719) </t>
  </si>
  <si>
    <t>010-6318-8055</t>
  </si>
  <si>
    <t>주식회사와이즈랩</t>
  </si>
  <si>
    <t>28120</t>
  </si>
  <si>
    <t>충청북도 청주시 청원구 오창읍</t>
  </si>
  <si>
    <t>중심상업로 27 (엔젤알파) 602호</t>
  </si>
  <si>
    <t xml:space="preserve">충청북도 청주시 청원구 오창읍 중심상업로 27 (엔젤알파) 602호 (우 : 28120) </t>
  </si>
  <si>
    <t>043-212-1207</t>
  </si>
  <si>
    <t>센트포레스트퍼퓸</t>
  </si>
  <si>
    <t>14434</t>
  </si>
  <si>
    <t>성오로 185 1층 풍경라이프/정인</t>
  </si>
  <si>
    <t xml:space="preserve">경기도 부천시 성오로 185 1층 풍경라이프/정인 (우 : 14434) </t>
  </si>
  <si>
    <t>032-675-2378</t>
  </si>
  <si>
    <t>성신무역</t>
  </si>
  <si>
    <t>14680</t>
  </si>
  <si>
    <t>안곡로149번길 43 203호 성신무역</t>
  </si>
  <si>
    <t xml:space="preserve">경기도 부천시 안곡로149번길 43 203호 성신무역 (우 : 14680) </t>
  </si>
  <si>
    <t>010-8826-9989</t>
  </si>
  <si>
    <t>0507-1323-9989</t>
  </si>
  <si>
    <t>주 비오씨이래</t>
  </si>
  <si>
    <t>10882</t>
  </si>
  <si>
    <t>경기도 파주시</t>
  </si>
  <si>
    <t>산남로 62-27 (주)비오씨이래</t>
  </si>
  <si>
    <t xml:space="preserve">경기도 파주시 산남로 62-27 (주)비오씨이래 (우 : 10882) </t>
  </si>
  <si>
    <t>02-830-6669</t>
  </si>
  <si>
    <t>010-8989-6352</t>
  </si>
  <si>
    <t>킹룬코리아</t>
  </si>
  <si>
    <t>62295</t>
  </si>
  <si>
    <t>광주광역시 광산구</t>
  </si>
  <si>
    <t>수등로 275 3층</t>
  </si>
  <si>
    <t xml:space="preserve">광주광역시 광산구 수등로 275 3층 (우 : 62295) </t>
  </si>
  <si>
    <t>010-3410-7110</t>
  </si>
  <si>
    <t>호프너</t>
  </si>
  <si>
    <t>22856</t>
  </si>
  <si>
    <t>북항로177번길 26 북항로 177번길 26 B동</t>
  </si>
  <si>
    <t xml:space="preserve">인천광역시 서구 북항로177번길 26 북항로 177번길 26 B동 (우 : 22856) </t>
  </si>
  <si>
    <t>010-9809-3016</t>
  </si>
  <si>
    <t>하늘농장</t>
  </si>
  <si>
    <t>11423</t>
  </si>
  <si>
    <t>경기도 양주시 광적면</t>
  </si>
  <si>
    <t>현석로495번길 52-11 하늘농장</t>
  </si>
  <si>
    <t xml:space="preserve">경기도 양주시 광적면 현석로495번길 52-11 하늘농장 (우 : 11423) </t>
  </si>
  <si>
    <t>에스에스비 오르카</t>
  </si>
  <si>
    <t>39367</t>
  </si>
  <si>
    <t>수출대로 152 세원테크노밸리 612호</t>
  </si>
  <si>
    <t xml:space="preserve">경상북도 구미시 수출대로 152 세원테크노밸리 612호 (우 : 39367) </t>
  </si>
  <si>
    <t>054-473-3055</t>
  </si>
  <si>
    <t>디앤더블유</t>
  </si>
  <si>
    <t>14348</t>
  </si>
  <si>
    <t>일직로 72 A동 602호</t>
  </si>
  <si>
    <t xml:space="preserve">경기도 광명시 일직로 72 A동 602호 (우 : 14348) </t>
  </si>
  <si>
    <t>010-9083-8590</t>
  </si>
  <si>
    <t>JW인터내셔널</t>
  </si>
  <si>
    <t>04780</t>
  </si>
  <si>
    <t>서울특별시 성동구</t>
  </si>
  <si>
    <t>성수일로 10 (서울숲 ITCT 지식산업센터) 705호</t>
  </si>
  <si>
    <t xml:space="preserve">서울특별시 성동구 성수일로 10 (서울숲 ITCT 지식산업센터) 705호 (우 : 04780) </t>
  </si>
  <si>
    <t>02-6071-0520</t>
  </si>
  <si>
    <t>스토브다르다 통컴퍼니</t>
  </si>
  <si>
    <t>14963</t>
  </si>
  <si>
    <t>경기도 시흥시</t>
  </si>
  <si>
    <t>월곶해안로161번길 25 (월곶Ⅱ 유호N플러스빌) 2차아파트 103동 1402호</t>
  </si>
  <si>
    <t xml:space="preserve">경기도 시흥시 월곶해안로161번길 25 (월곶Ⅱ 유호N플러스빌) 2차아파트 103동 1402호 (우 : 14963) </t>
  </si>
  <si>
    <t>02-6081-1579</t>
  </si>
  <si>
    <t>010-5917-7962</t>
  </si>
  <si>
    <t>하트랙</t>
  </si>
  <si>
    <t>10010</t>
  </si>
  <si>
    <t>경기도 김포시 통진읍</t>
  </si>
  <si>
    <t>월하로519번길 160 주식회사 골드퓨쳐</t>
  </si>
  <si>
    <t xml:space="preserve">경기도 김포시 통진읍 월하로519번길 160 주식회사 골드퓨쳐 (우 : 10010) </t>
  </si>
  <si>
    <t>0507-1309-7571</t>
  </si>
  <si>
    <t>K2H 삼성공기청정기</t>
  </si>
  <si>
    <t>07582</t>
  </si>
  <si>
    <t>서울특별시 강서구</t>
  </si>
  <si>
    <t>강서로68길 12 (인방빌딩) 5층 502호 K2H</t>
  </si>
  <si>
    <t xml:space="preserve">서울특별시 강서구 강서로68길 12 (인방빌딩) 5층 502호 K2H (우 : 07582) </t>
  </si>
  <si>
    <t>02-2659-3002</t>
  </si>
  <si>
    <t>우성씨텍모기진스템프</t>
  </si>
  <si>
    <t>15887</t>
  </si>
  <si>
    <t>대야1로12번안길 7 (셀지노빌딩) 2층 우성씨텍</t>
  </si>
  <si>
    <t xml:space="preserve">경기도 군포시 대야1로12번안길 7 (셀지노빌딩) 2층 우성씨텍 (우 : 15887) </t>
  </si>
  <si>
    <t>031-407-3996</t>
  </si>
  <si>
    <t>케이네트윅스블라이트차단</t>
  </si>
  <si>
    <t>18576</t>
  </si>
  <si>
    <t>경기도 화성시 팔탄면</t>
  </si>
  <si>
    <t>현대기아로 25-21 4층 케이네트윅스</t>
  </si>
  <si>
    <t xml:space="preserve">경기도 화성시 팔탄면 현대기아로 25-21 4층 케이네트윅스 (우 : 18576) </t>
  </si>
  <si>
    <t>031-353-4151</t>
  </si>
  <si>
    <t>마이소싱캠핑용품</t>
  </si>
  <si>
    <t>48733</t>
  </si>
  <si>
    <t>부산광역시 동구</t>
  </si>
  <si>
    <t>중앙대로214번길 7-11 4층 401,402호 마이소싱</t>
  </si>
  <si>
    <t xml:space="preserve">부산광역시 동구 중앙대로214번길 7-11 4층 401,402호 마이소싱 (우 : 48733) </t>
  </si>
  <si>
    <t>010-3644-1763</t>
  </si>
  <si>
    <t>화영에끌레어손선풍기</t>
  </si>
  <si>
    <t>21694</t>
  </si>
  <si>
    <t>남동동로77번길 41 2동 1층(고잔동)</t>
  </si>
  <si>
    <t xml:space="preserve">인천광역시 남동구 남동동로77번길 41 2동 1층(고잔동) (우 : 21694) </t>
  </si>
  <si>
    <t>032-777-0233</t>
  </si>
  <si>
    <t>숯언니원콜숯</t>
  </si>
  <si>
    <t>25114</t>
  </si>
  <si>
    <t>강원도 홍천군 북방면</t>
  </si>
  <si>
    <t>중화계로77번길 60 숯언니</t>
  </si>
  <si>
    <t xml:space="preserve">강원도 홍천군 북방면 중화계로77번길 60 숯언니 (우 : 25114) </t>
  </si>
  <si>
    <t>033-435-9088</t>
  </si>
  <si>
    <t>010-2768-0048</t>
  </si>
  <si>
    <t>일월세미컴UV오존살균기</t>
  </si>
  <si>
    <t>08390</t>
  </si>
  <si>
    <t>서울특별시 구로구</t>
  </si>
  <si>
    <t>디지털로32길 30 (코오롱디지털타워빌란트) 309호</t>
  </si>
  <si>
    <t xml:space="preserve">서울특별시 구로구 디지털로32길 30 (코오롱디지털타워빌란트) 309호 (우 : 08390) </t>
  </si>
  <si>
    <t>02-2272-7678</t>
  </si>
  <si>
    <t>010-7175-7132</t>
  </si>
  <si>
    <t>삼진그룹스틸퓨어디퓨저</t>
  </si>
  <si>
    <t>04379</t>
  </si>
  <si>
    <t>한강대로15길 11 ((주)세아정보시스템) 2층 삼진그룹</t>
  </si>
  <si>
    <t xml:space="preserve">서울특별시 용산구 한강대로15길 11 ((주)세아정보시스템) 2층 삼진그룹 (우 : 04379) </t>
  </si>
  <si>
    <t>010-5367-7669</t>
  </si>
  <si>
    <t>나임솔루션바이러스그린</t>
  </si>
  <si>
    <t>22109</t>
  </si>
  <si>
    <t>인천광역시 미추홀구</t>
  </si>
  <si>
    <t>봉수대로 17 (테크노텔) 3층 306호</t>
  </si>
  <si>
    <t xml:space="preserve">인천광역시 미추홀구 봉수대로 17 (테크노텔) 3층 306호 (우 : 22109) </t>
  </si>
  <si>
    <t>010-5099-5297</t>
  </si>
  <si>
    <t>스테디셀러수크코리아</t>
  </si>
  <si>
    <t>18404</t>
  </si>
  <si>
    <t>경기도 화성시</t>
  </si>
  <si>
    <t>병점중앙로156번길 15-11 승원빌딩 203호</t>
  </si>
  <si>
    <t xml:space="preserve">경기도 화성시 병점중앙로156번길 15-11 승원빌딩 203호 (우 : 18404) </t>
  </si>
  <si>
    <t>031-409-9844</t>
  </si>
  <si>
    <t>비오씨이래</t>
  </si>
  <si>
    <t>08511</t>
  </si>
  <si>
    <t>디지털로9길 65 (백상스타타워1차) 1007호</t>
  </si>
  <si>
    <t xml:space="preserve">서울특별시 금천구 디지털로9길 65 (백상스타타워1차) 1007호 (우 : 08511) </t>
  </si>
  <si>
    <t>셀러마켓</t>
  </si>
  <si>
    <t>61217</t>
  </si>
  <si>
    <t>우치로 21 1층 (주)셀러</t>
  </si>
  <si>
    <t xml:space="preserve">광주광역시 북구 우치로 21 1층 (주)셀러 (우 : 61217) </t>
  </si>
  <si>
    <t>02-6413-8717</t>
  </si>
  <si>
    <t>유기농사랑</t>
  </si>
  <si>
    <t>46508</t>
  </si>
  <si>
    <t>부산광역시 북구</t>
  </si>
  <si>
    <t>효열로 111 (부산지식산업센터) 601호</t>
  </si>
  <si>
    <t xml:space="preserve">부산광역시 북구 효열로 111 (부산지식산업센터) 601호 (우 : 46508) </t>
  </si>
  <si>
    <t>051-363-9556</t>
  </si>
  <si>
    <t>010-4624-0165</t>
  </si>
  <si>
    <t>유비코퍼레이션</t>
  </si>
  <si>
    <t>14637</t>
  </si>
  <si>
    <t>부천로3번길 48 (심곡동 피노키오 상가) 9층 01-05호</t>
  </si>
  <si>
    <t xml:space="preserve">경기도 부천시 부천로3번길 48 (심곡동 피노키오 상가) 9층 01-05호 (우 : 14637) </t>
  </si>
  <si>
    <t>010-9277-6455</t>
  </si>
  <si>
    <t>케비스전자손소독기</t>
  </si>
  <si>
    <t>15850</t>
  </si>
  <si>
    <t>고산로148번길 17 (군포IT밸리) 비동 1307호</t>
  </si>
  <si>
    <t xml:space="preserve">경기도 군포시 고산로148번길 17 (군포IT밸리) 비동 1307호 (우 : 15850) </t>
  </si>
  <si>
    <t>010-2210-7017</t>
  </si>
  <si>
    <t>골드로디펌핀</t>
  </si>
  <si>
    <t>04719</t>
  </si>
  <si>
    <t>독서당로63길 37-1 101호</t>
  </si>
  <si>
    <t xml:space="preserve">서울특별시 성동구 독서당로63길 37-1 101호 (우 : 04719) </t>
  </si>
  <si>
    <t>010-5815-5352</t>
  </si>
  <si>
    <t>블루브릿지글로벌</t>
  </si>
  <si>
    <t>06161</t>
  </si>
  <si>
    <t>선릉로100길 34 (남영빌딩) (주)블루브릿지글로벌</t>
  </si>
  <si>
    <t xml:space="preserve">서울특별시 강남구 선릉로100길 34 (남영빌딩) (주)블루브릿지글로벌 (우 : 06161) </t>
  </si>
  <si>
    <t>010-5345-5645</t>
  </si>
  <si>
    <t>비에프씨씨 청결대장</t>
  </si>
  <si>
    <t>49315</t>
  </si>
  <si>
    <t>낙동대로550번길 37 (동아대학교) 산학연구관 419호</t>
  </si>
  <si>
    <t xml:space="preserve">부산광역시 사하구 낙동대로550번길 37 (동아대학교) 산학연구관 419호 (우 : 49315) </t>
  </si>
  <si>
    <t>010-4935-7710</t>
  </si>
  <si>
    <t>광진리퍼브샵</t>
  </si>
  <si>
    <t>05103</t>
  </si>
  <si>
    <t>자양로 35 1층 광진 리퍼브샵</t>
  </si>
  <si>
    <t xml:space="preserve">서울특별시 광진구 자양로 35 1층 광진 리퍼브샵 (우 : 05103) </t>
  </si>
  <si>
    <t>02-6396-7971</t>
  </si>
  <si>
    <t>영트레이드</t>
  </si>
  <si>
    <t>04739</t>
  </si>
  <si>
    <t>독서당로44길 14 롯데택배 옥수동(대) 영트레이드</t>
  </si>
  <si>
    <t xml:space="preserve">서울특별시 성동구 독서당로44길 14 롯데택배 옥수동(대) 영트레이드 (우 : 04739) </t>
  </si>
  <si>
    <t>070-7740-5077</t>
  </si>
  <si>
    <t>코넬공간시스템</t>
  </si>
  <si>
    <t>54004</t>
  </si>
  <si>
    <t>전라북도 군산시</t>
  </si>
  <si>
    <t>산단동서로 78 ((주)코넬인터내셔널)</t>
  </si>
  <si>
    <t xml:space="preserve">전라북도 군산시 산단동서로 78 ((주)코넬인터내셔널) (우 : 54004) </t>
  </si>
  <si>
    <t>010-8898-1164</t>
  </si>
  <si>
    <t>로닉스 주부구단</t>
  </si>
  <si>
    <t>11492</t>
  </si>
  <si>
    <t>경기도 양주시</t>
  </si>
  <si>
    <t>부흥로 1932 5층 206호 로닉스</t>
  </si>
  <si>
    <t xml:space="preserve">경기도 양주시 부흥로 1932 5층 206호 로닉스 (우 : 11492) </t>
  </si>
  <si>
    <t>031-928-7255</t>
  </si>
  <si>
    <t>썬키즈</t>
  </si>
  <si>
    <t>14303</t>
  </si>
  <si>
    <t>오리로651번길 6 지하1층 썬키즈</t>
  </si>
  <si>
    <t xml:space="preserve">경기도 광명시 오리로651번길 6 지하1층 썬키즈 (우 : 14303) </t>
  </si>
  <si>
    <t>02-898-9876</t>
  </si>
  <si>
    <t>엠케이엔컴퍼니디퓨저</t>
  </si>
  <si>
    <t>01310</t>
  </si>
  <si>
    <t>시루봉로29길 9-4 (도성블루빌) 5층 501호</t>
  </si>
  <si>
    <t xml:space="preserve">서울특별시 도봉구 시루봉로29길 9-4 (도성블루빌) 5층 501호 (우 : 01310) </t>
  </si>
  <si>
    <t>스마트레디 레소노W5</t>
  </si>
  <si>
    <t>01803</t>
  </si>
  <si>
    <t>화랑로 465 (엘네스트빌 오피스텔) 311호</t>
  </si>
  <si>
    <t xml:space="preserve">서울특별시 노원구 화랑로 465 (엘네스트빌 오피스텔) 311호 (우 : 01803) </t>
  </si>
  <si>
    <t>070-8064-7751</t>
  </si>
  <si>
    <t>리퍼블릭키친 음식물분쇄</t>
  </si>
  <si>
    <t>17780</t>
  </si>
  <si>
    <t>경기도 평택시</t>
  </si>
  <si>
    <t>송탄로 192-1 리퍼블릭키친</t>
  </si>
  <si>
    <t xml:space="preserve">경기도 평택시 송탄로 192-1 리퍼블릭키친 (우 : 17780) </t>
  </si>
  <si>
    <t>1688-0642</t>
  </si>
  <si>
    <t>에디톨로지 케이블</t>
  </si>
  <si>
    <t>16833</t>
  </si>
  <si>
    <t>경기도 용인시 수지구</t>
  </si>
  <si>
    <t>풍덕천로172번길 13-4 (베스트빌) 202호</t>
  </si>
  <si>
    <t xml:space="preserve">경기도 용인시 수지구 풍덕천로172번길 13-4 (베스트빌) 202호 (우 : 16833) </t>
  </si>
  <si>
    <t>0507-1388-0388</t>
  </si>
  <si>
    <t>프로비앤텍 꿀벌커피</t>
  </si>
  <si>
    <t>35214</t>
  </si>
  <si>
    <t>대전광역시 서구</t>
  </si>
  <si>
    <t>대덕대로 325 스타게이트 482호</t>
  </si>
  <si>
    <t xml:space="preserve">대전광역시 서구 대덕대로 325 스타게이트 482호 (우 : 35214) </t>
  </si>
  <si>
    <t>042-710-2226</t>
  </si>
  <si>
    <t>리안트레이딩</t>
  </si>
  <si>
    <t>산남로 62-27 리안트레이딩</t>
  </si>
  <si>
    <t xml:space="preserve">경기도 파주시 산남로 62-27 리안트레이딩 (우 : 10882) </t>
  </si>
  <si>
    <t>02-858-8829</t>
  </si>
  <si>
    <t>비고르발마사지기</t>
  </si>
  <si>
    <t>21059</t>
  </si>
  <si>
    <t>계산새로5번길 14 (인정프린스아파트) 101동 307호</t>
  </si>
  <si>
    <t xml:space="preserve">인천광역시 계양구 계산새로5번길 14 (인정프린스아파트) 101동 307호 (우 : 21059) </t>
  </si>
  <si>
    <t>010-4667-5215</t>
  </si>
  <si>
    <t>윤준컴퍼니</t>
  </si>
  <si>
    <t>10102</t>
  </si>
  <si>
    <t>봉화로167번길 35-29 4층 415호 윤준컴퍼니</t>
  </si>
  <si>
    <t xml:space="preserve">경기도 김포시 봉화로167번길 35-29 4층 415호 윤준컴퍼니 (우 : 10102) </t>
  </si>
  <si>
    <t>070-4454-2766</t>
  </si>
  <si>
    <t>아이시스 만능집게</t>
  </si>
  <si>
    <t>21320</t>
  </si>
  <si>
    <t>영성동로 46 (삼산농산물도매시장) 하나물류</t>
  </si>
  <si>
    <t xml:space="preserve">인천광역시 부평구 영성동로 46 (삼산농산물도매시장) 하나물류 (우 : 21320) </t>
  </si>
  <si>
    <t>070-4173-7364</t>
  </si>
  <si>
    <t>포미석류스틱</t>
  </si>
  <si>
    <t>05041</t>
  </si>
  <si>
    <t>아차산로55길 62-20 만나</t>
  </si>
  <si>
    <t xml:space="preserve">서울특별시 광진구 아차산로55길 62-20 만나 (우 : 05041) </t>
  </si>
  <si>
    <t>010-2059-5075</t>
  </si>
  <si>
    <t>아이시스 노터치청소기</t>
  </si>
  <si>
    <t>산남로 62-27</t>
  </si>
  <si>
    <t xml:space="preserve">경기도 파주시 산남로 62-27 (우 : 10882) </t>
  </si>
  <si>
    <t>070-5220-2369</t>
  </si>
  <si>
    <t>노먼컴퍼니 향수</t>
  </si>
  <si>
    <t>41937</t>
  </si>
  <si>
    <t>대구광역시 중구</t>
  </si>
  <si>
    <t>동성로 25 (영스퀘어) 905호 노먼컴퍼니</t>
  </si>
  <si>
    <t xml:space="preserve">대구광역시 중구 동성로 25 (영스퀘어) 905호 노먼컴퍼니 (우 : 41937) </t>
  </si>
  <si>
    <t>070-4064-9410</t>
  </si>
  <si>
    <t>나샵힐스파인매트리스</t>
  </si>
  <si>
    <t>17324</t>
  </si>
  <si>
    <t>경기도 이천시 부발읍</t>
  </si>
  <si>
    <t>무촌로 21-97 농업회사법인 (주)리코마케팅</t>
  </si>
  <si>
    <t xml:space="preserve">경기도 이천시 부발읍 무촌로 21-97 농업회사법인 (주)리코마케팅 (우 : 17324) </t>
  </si>
  <si>
    <t>010-3175-6024</t>
  </si>
  <si>
    <t>씨코전자</t>
  </si>
  <si>
    <t>50850</t>
  </si>
  <si>
    <t>김해대로 916 40-58 씨코전자</t>
  </si>
  <si>
    <t xml:space="preserve">경상남도 김해시 한림면 김해대로 916 40-58 씨코전자 (우 : 50850) </t>
  </si>
  <si>
    <t>055-345-9855</t>
  </si>
  <si>
    <t>투에이블 이중세탁망</t>
  </si>
  <si>
    <t>05855</t>
  </si>
  <si>
    <t>서울특별시 송파구</t>
  </si>
  <si>
    <t>송파대로 167 (문정역테라타워) G214</t>
  </si>
  <si>
    <t xml:space="preserve">서울특별시 송파구 송파대로 167 (문정역테라타워) G214 (우 : 05855) </t>
  </si>
  <si>
    <t>02-2054-3575</t>
  </si>
  <si>
    <t>맥클린코스메틱</t>
  </si>
  <si>
    <t>30141</t>
  </si>
  <si>
    <t>집현중앙7로 3 (산학연클러스터 지원센터) 504,505호</t>
  </si>
  <si>
    <t xml:space="preserve">세종특별자치시 집현중앙7로 3 (산학연클러스터 지원센터) 504,505호 (우 : 30141) </t>
  </si>
  <si>
    <t>070-4251-7152</t>
  </si>
  <si>
    <t>비케이시스템</t>
  </si>
  <si>
    <t>14034</t>
  </si>
  <si>
    <t>만안로 49 (호정타워) 9층 924호 비케이시스템</t>
  </si>
  <si>
    <t xml:space="preserve">경기도 안양시 만안구 만안로 49 (호정타워) 9층 924호 비케이시스템 (우 : 14034) </t>
  </si>
  <si>
    <t>031-444-9860</t>
  </si>
  <si>
    <t>머슬레인</t>
  </si>
  <si>
    <t>14931</t>
  </si>
  <si>
    <t>수인로 2768-16</t>
  </si>
  <si>
    <t xml:space="preserve">경기도 시흥시 수인로 2768-16 (우 : 14931) </t>
  </si>
  <si>
    <t>010-7624-8795</t>
  </si>
  <si>
    <t>비조솔루션</t>
  </si>
  <si>
    <t>08504</t>
  </si>
  <si>
    <t>서부샛길 606 (대성디폴리스지식산업센터) B동 2608호</t>
  </si>
  <si>
    <t xml:space="preserve">서울특별시 금천구 서부샛길 606 (대성디폴리스지식산업센터) B동 2608호 (우 : 08504) </t>
  </si>
  <si>
    <t>010-3388-9898</t>
  </si>
  <si>
    <t>02-406-3322</t>
  </si>
  <si>
    <t>일성인터내셔널샤워기주소</t>
  </si>
  <si>
    <t>14501</t>
  </si>
  <si>
    <t>석천로 345 (부천테크노파크) 301동 804호</t>
  </si>
  <si>
    <t xml:space="preserve">경기도 부천시 석천로 345 (부천테크노파크) 301동 804호 (우 : 14501) </t>
  </si>
  <si>
    <t>070-4250-1811</t>
  </si>
  <si>
    <t>010-9273-7118</t>
  </si>
  <si>
    <t>하이이미지</t>
  </si>
  <si>
    <t>22664</t>
  </si>
  <si>
    <t>마중로 158 (정우기계) 하이이미지</t>
  </si>
  <si>
    <t xml:space="preserve">인천광역시 서구 마중로 158 (정우기계) 하이이미지 (우 : 22664) </t>
  </si>
  <si>
    <t>010-2288-2991</t>
  </si>
  <si>
    <t>월드스카이협력사</t>
  </si>
  <si>
    <t>02862</t>
  </si>
  <si>
    <t>서울특별시 성북구</t>
  </si>
  <si>
    <t xml:space="preserve">보문로 173 (슈프림스) </t>
  </si>
  <si>
    <t xml:space="preserve">서울특별시 성북구 보문로 173 (슈프림스) (우 : 02862) </t>
  </si>
  <si>
    <t>이지윈컴퍼니</t>
  </si>
  <si>
    <t>04786</t>
  </si>
  <si>
    <t>동일로 79 301호</t>
  </si>
  <si>
    <t xml:space="preserve">서울특별시 성동구 동일로 79 301호 (우 : 04786) </t>
  </si>
  <si>
    <t>010-7997-9669</t>
  </si>
  <si>
    <t>070-4464-0162</t>
  </si>
  <si>
    <t>세일베리</t>
  </si>
  <si>
    <t>06159</t>
  </si>
  <si>
    <t>테헤란로69길 10 (퍼시픽빌딩) 1002호 세일베리(주)</t>
  </si>
  <si>
    <t xml:space="preserve">서울특별시 강남구 테헤란로69길 10 (퍼시픽빌딩) 1002호 세일베리(주) (우 : 06159) </t>
  </si>
  <si>
    <t>070-8946-3500</t>
  </si>
  <si>
    <t>010-3215-3203</t>
  </si>
  <si>
    <t>더라이프스토리</t>
  </si>
  <si>
    <t>가산디지털1로 30 (에이스하이엔드타워10) 414-2호</t>
  </si>
  <si>
    <t xml:space="preserve">서울특별시 금천구 가산디지털1로 30 (에이스하이엔드타워10) 414-2호 (우 : 08591) </t>
  </si>
  <si>
    <t>010-8899-1504</t>
  </si>
  <si>
    <t>070-7756-1200</t>
  </si>
  <si>
    <t>강산농원영농조합법인</t>
  </si>
  <si>
    <t>59450</t>
  </si>
  <si>
    <t>전라남도 보성군 웅치면</t>
  </si>
  <si>
    <t>대산길 7 강산농원 영농조합법인</t>
  </si>
  <si>
    <t xml:space="preserve">전라남도 보성군 웅치면 대산길 7 강산농원 영농조합법인 (우 : 59450) </t>
  </si>
  <si>
    <t>02-3361-8388</t>
  </si>
  <si>
    <t>프로비앤틱 레몬꿀</t>
  </si>
  <si>
    <t>28333</t>
  </si>
  <si>
    <t>충청북도 청주시 청원구</t>
  </si>
  <si>
    <t>충청대로 113 2층 6-2호(율량동)</t>
  </si>
  <si>
    <t xml:space="preserve">충청북도 청주시 청원구 충청대로 113 2층 6-2호(율량동) (우 : 28333) </t>
  </si>
  <si>
    <t>010-9414-0593</t>
  </si>
  <si>
    <t>엔티티웍스</t>
  </si>
  <si>
    <t>03328</t>
  </si>
  <si>
    <t>서울특별시 은평구</t>
  </si>
  <si>
    <t>통일로89길 5-10 엔티티웍스 B/D 온라인 출고팀</t>
  </si>
  <si>
    <t xml:space="preserve">서울특별시 은평구 통일로89길 5-10 엔티티웍스 B/D 온라인 출고팀 (우 : 03328) </t>
  </si>
  <si>
    <t>1566-8085</t>
  </si>
  <si>
    <t>꿈을빚는떡집</t>
  </si>
  <si>
    <t>12989</t>
  </si>
  <si>
    <t>초광로108번길 16 한진택배 가락대리점</t>
  </si>
  <si>
    <t xml:space="preserve">경기도 하남시 초광로108번길 16 한진택배 가락대리점 (우 : 12989) </t>
  </si>
  <si>
    <t>010-9463-3921</t>
  </si>
  <si>
    <t>아이맥라이트</t>
  </si>
  <si>
    <t>08501</t>
  </si>
  <si>
    <t>가마산로 96 (대륭테크노타운8차) 907-3호 아이맥몰</t>
  </si>
  <si>
    <t xml:space="preserve">서울특별시 금천구 가마산로 96 (대륭테크노타운8차) 907-3호 아이맥몰 (우 : 08501) </t>
  </si>
  <si>
    <t>010-3341-6511</t>
  </si>
  <si>
    <t>빛길국수</t>
  </si>
  <si>
    <t>22217</t>
  </si>
  <si>
    <t>신기길 2 2층</t>
  </si>
  <si>
    <t xml:space="preserve">인천광역시 미추홀구 신기길 2 2층 (우 : 22217) </t>
  </si>
  <si>
    <t>032-876-0704</t>
  </si>
  <si>
    <t>010-2688-4490</t>
  </si>
  <si>
    <t>우신벨로프</t>
  </si>
  <si>
    <t>12072</t>
  </si>
  <si>
    <t>내각1로99번길 28 우신벨로프</t>
  </si>
  <si>
    <t xml:space="preserve">경기도 남양주시 진접읍 내각1로99번길 28 우신벨로프 (우 : 12072) </t>
  </si>
  <si>
    <t>031-571-8585</t>
  </si>
  <si>
    <t>유브이넥스</t>
  </si>
  <si>
    <t>04045</t>
  </si>
  <si>
    <t>양화로 52 3층</t>
  </si>
  <si>
    <t xml:space="preserve">서울특별시 마포구 양화로 52 3층 (우 : 04045) </t>
  </si>
  <si>
    <t>010-6476-0466</t>
  </si>
  <si>
    <t>오르힐</t>
  </si>
  <si>
    <t>12770</t>
  </si>
  <si>
    <t>경기도 광주시</t>
  </si>
  <si>
    <t>광남안로 301 오르힐</t>
  </si>
  <si>
    <t xml:space="preserve">경기도 광주시 광남안로 301 오르힐 (우 : 12770) </t>
  </si>
  <si>
    <t>010-4358-6846</t>
  </si>
  <si>
    <t>아쿠보 마스크 보위</t>
  </si>
  <si>
    <t>06767</t>
  </si>
  <si>
    <t>양재대로2길 100-11 (서초 리슈빌S) 513호</t>
  </si>
  <si>
    <t xml:space="preserve">서울특별시 서초구 양재대로2길 100-11 (서초 리슈빌S) 513호 (우 : 06767) </t>
  </si>
  <si>
    <t>010-7377-5169</t>
  </si>
  <si>
    <t>일성인터내셔널</t>
  </si>
  <si>
    <t>14047</t>
  </si>
  <si>
    <t>시민대로 187 (안양건설타워) 608호</t>
  </si>
  <si>
    <t xml:space="preserve">경기도 안양시 동안구 시민대로 187 (안양건설타워) 608호 (우 : 14047) </t>
  </si>
  <si>
    <t>비비드바비</t>
  </si>
  <si>
    <t>15495</t>
  </si>
  <si>
    <t>경기도 안산시 상록구</t>
  </si>
  <si>
    <t>광덕1로 362 (한양프라자) 525호 비비드바비</t>
  </si>
  <si>
    <t xml:space="preserve">경기도 안산시 상록구 광덕1로 362 (한양프라자) 525호 비비드바비 (우 : 15495) </t>
  </si>
  <si>
    <t>010-8868-0167</t>
  </si>
  <si>
    <t>라텍스명가</t>
  </si>
  <si>
    <t>38469</t>
  </si>
  <si>
    <t>경상북도 경산시 진량읍</t>
  </si>
  <si>
    <t>공단3로 31 (경동산기주) 라텍스명가</t>
  </si>
  <si>
    <t xml:space="preserve">경상북도 경산시 진량읍 공단3로 31 (경동산기주) 라텍스명가 (우 : 38469) </t>
  </si>
  <si>
    <t>010-8420-8972</t>
  </si>
  <si>
    <t>02-702-3322</t>
  </si>
  <si>
    <t>한쉐프 대나무 숯 토치</t>
  </si>
  <si>
    <t>62460</t>
  </si>
  <si>
    <t>연산로 239 2층 한쉐프</t>
  </si>
  <si>
    <t xml:space="preserve">광주광역시 광산구 연산로 239 2층 한쉐프 (우 : 62460) </t>
  </si>
  <si>
    <t>062-944-0815</t>
  </si>
  <si>
    <t>위즈페이스 웨텍스 행주</t>
  </si>
  <si>
    <t>05510</t>
  </si>
  <si>
    <t>올림픽로35길 123 (향군타워) 5층 511호</t>
  </si>
  <si>
    <t xml:space="preserve">서울특별시 송파구 올림픽로35길 123 (향군타워) 5층 511호 (우 : 05510) </t>
  </si>
  <si>
    <t>010-5885-6824</t>
  </si>
  <si>
    <t>올쿡 그리들</t>
  </si>
  <si>
    <t>39867</t>
  </si>
  <si>
    <t>경상북도 칠곡군 지천면</t>
  </si>
  <si>
    <t>송정도당길 115 (주) 태형산업</t>
  </si>
  <si>
    <t xml:space="preserve">경상북도 칠곡군 지천면 송정도당길 115 (주) 태형산업 (우 : 39867) </t>
  </si>
  <si>
    <t>054-976-9595</t>
  </si>
  <si>
    <t>위즈타운</t>
  </si>
  <si>
    <t>22849</t>
  </si>
  <si>
    <t>갑문3로 37 (티제이물류센터) 청라센터 주정인 부장</t>
  </si>
  <si>
    <t xml:space="preserve">인천광역시 서구 갑문3로 37 (티제이물류센터) 청라센터 주정인 부장 (우 : 22849) </t>
  </si>
  <si>
    <t>010-5380-6014</t>
  </si>
  <si>
    <t>미곳간</t>
  </si>
  <si>
    <t>방산길 226 선테크(주) 미곳간</t>
  </si>
  <si>
    <t xml:space="preserve">경기도 포천시 가산면 방산길 226 선테크(주) 미곳간 (우 : 11168) </t>
  </si>
  <si>
    <t>010-5514-2254</t>
  </si>
  <si>
    <t>위커머스</t>
  </si>
  <si>
    <t>10206</t>
  </si>
  <si>
    <t>경기도 고양시 일산서구</t>
  </si>
  <si>
    <t>덕산로243번길 24 위커머스</t>
  </si>
  <si>
    <t xml:space="preserve">경기도 고양시 일산서구 덕산로243번길 24 위커머스 (우 : 10206) </t>
  </si>
  <si>
    <t>010-6625-5252</t>
  </si>
  <si>
    <t>트로비 코코넛</t>
  </si>
  <si>
    <t>22762</t>
  </si>
  <si>
    <t>청라커낼로288번길 26 102-1403호</t>
  </si>
  <si>
    <t xml:space="preserve">인천광역시 서구 청라커낼로288번길 26 102-1403호 (우 : 22762) </t>
  </si>
  <si>
    <t>032-202-3114</t>
  </si>
  <si>
    <t>010-9903-0987</t>
  </si>
  <si>
    <t>엘도 이지스틱</t>
  </si>
  <si>
    <t>12049</t>
  </si>
  <si>
    <t>경기도 남양주시 오남읍</t>
  </si>
  <si>
    <t>진건오남로 585 2층</t>
  </si>
  <si>
    <t xml:space="preserve">경기도 남양주시 오남읍 진건오남로 585 2층 (우 : 12049) </t>
  </si>
  <si>
    <t>엠트레이딩</t>
  </si>
  <si>
    <t>08735</t>
  </si>
  <si>
    <t>서울특별시 관악구</t>
  </si>
  <si>
    <t>관악로24길 63 4층 엠트레이딩</t>
  </si>
  <si>
    <t xml:space="preserve">서울특별시 관악구 관악로24길 63 4층 엠트레이딩 (우 : 08735) </t>
  </si>
  <si>
    <t>070-8810-9977</t>
  </si>
  <si>
    <t>리호인터내셔널</t>
  </si>
  <si>
    <t>21990</t>
  </si>
  <si>
    <t>송도미래로 30 (송도 BRC 스마트밸리 지식산업센터) 디동 1801호</t>
  </si>
  <si>
    <t xml:space="preserve">인천광역시 연수구 송도미래로 30 (송도 BRC 스마트밸리 지식산업센터) 디동 1801호 (우 : 21990) </t>
  </si>
  <si>
    <t>010-8266-7409</t>
  </si>
  <si>
    <t>02-2028-3312</t>
  </si>
  <si>
    <t>에스앤에치 몽실헤어팩</t>
  </si>
  <si>
    <t>40037</t>
  </si>
  <si>
    <t>경상북도 성주군 월항면</t>
  </si>
  <si>
    <t>용각2길 19 1층 에스앤에치(몽실헤어팩)</t>
  </si>
  <si>
    <t xml:space="preserve">경상북도 성주군 월항면 용각2길 19 1층 에스앤에치(몽실헤어팩) (우 : 40037) </t>
  </si>
  <si>
    <t>010-9999-0846</t>
  </si>
  <si>
    <t>054-931-8983</t>
  </si>
  <si>
    <t>베리모어비타민샤워필터</t>
  </si>
  <si>
    <t>16397</t>
  </si>
  <si>
    <t>경기도 수원시 권선구</t>
  </si>
  <si>
    <t>금곡로 204 (세종타운721) 2층 207호</t>
  </si>
  <si>
    <t xml:space="preserve">경기도 수원시 권선구 금곡로 204 (세종타운721) 2층 207호 (우 : 16397) </t>
  </si>
  <si>
    <t>031-295-5111</t>
  </si>
  <si>
    <t>010-8482-8330</t>
  </si>
  <si>
    <t>비씨랩 김이상궁</t>
  </si>
  <si>
    <t>가산디지털1로 168 (우림라이온스밸리) 우림 C동 402호</t>
  </si>
  <si>
    <t xml:space="preserve">서울특별시 금천구 가산디지털1로 168 (우림라이온스밸리) 우림 C동 402호 (우 : 08507) </t>
  </si>
  <si>
    <t>010-5833-1981</t>
  </si>
  <si>
    <t>하이세븐</t>
  </si>
  <si>
    <t>12730</t>
  </si>
  <si>
    <t>경기도 광주시 초월읍</t>
  </si>
  <si>
    <t>산수로 790 (주) 하이세븐</t>
  </si>
  <si>
    <t xml:space="preserve">경기도 광주시 초월읍 산수로 790 (주) 하이세븐 (우 : 12730) </t>
  </si>
  <si>
    <t>070-5220-2368</t>
  </si>
  <si>
    <t>주식회사 아이시스</t>
  </si>
  <si>
    <t>61061</t>
  </si>
  <si>
    <t>서하로 111 3층 2호(매곡동) 주식회사 아이시스</t>
  </si>
  <si>
    <t xml:space="preserve">광주광역시 북구 서하로 111 3층 2호(매곡동) 주식회사 아이시스 (우 : 61061) </t>
  </si>
  <si>
    <t>글로빅</t>
  </si>
  <si>
    <t>12093</t>
  </si>
  <si>
    <t>송산로339번길 24-13 401호 글로빅</t>
  </si>
  <si>
    <t xml:space="preserve">경기도 남양주시 송산로339번길 24-13 401호 글로빅 (우 : 12093) </t>
  </si>
  <si>
    <t>010-3976-7519</t>
  </si>
  <si>
    <t>010-2355-8879</t>
  </si>
  <si>
    <t>리빙센스</t>
  </si>
  <si>
    <t>01114</t>
  </si>
  <si>
    <t>도봉로 261 (삼호아파트, 수유프라자) 1층 리빙센스</t>
  </si>
  <si>
    <t xml:space="preserve">서울특별시 강북구 도봉로 261 (삼호아파트, 수유프라자) 1층 리빙센스 (우 : 01114) </t>
  </si>
  <si>
    <t>02-945-8000</t>
  </si>
  <si>
    <t>010-6224-4700</t>
  </si>
  <si>
    <t>아빠의 부엌</t>
  </si>
  <si>
    <t>13550</t>
  </si>
  <si>
    <t>대왕판교로 336 1층 아빠의 부엌</t>
  </si>
  <si>
    <t xml:space="preserve">경기도 성남시 분당구 대왕판교로 336 1층 아빠의 부엌 (우 : 13550) </t>
  </si>
  <si>
    <t>010-7774-7563</t>
  </si>
  <si>
    <t>031-604-3500</t>
  </si>
  <si>
    <t>행복리그</t>
  </si>
  <si>
    <t>12131</t>
  </si>
  <si>
    <t>경기도 남양주시 진건읍</t>
  </si>
  <si>
    <t>양진로 486 유성빌딩 202호</t>
  </si>
  <si>
    <t xml:space="preserve">경기도 남양주시 진건읍 양진로 486 유성빌딩 202호 (우 : 12131) </t>
  </si>
  <si>
    <t>010-6782-1111</t>
  </si>
  <si>
    <t>비에스코스틱</t>
  </si>
  <si>
    <t>03343</t>
  </si>
  <si>
    <t>연서로37길 32 (성우타운빌) 1층 BS</t>
  </si>
  <si>
    <t xml:space="preserve">서울특별시 은평구 연서로37길 32 (성우타운빌) 1층 BS (우 : 03343) </t>
  </si>
  <si>
    <t>010-2999-8806</t>
  </si>
  <si>
    <t>드림웰</t>
  </si>
  <si>
    <t>46303</t>
  </si>
  <si>
    <t>가마실로 25 2층</t>
  </si>
  <si>
    <t xml:space="preserve">부산광역시 금정구 가마실로 25 2층 (우 : 46303) </t>
  </si>
  <si>
    <t>010-3657-7992</t>
  </si>
  <si>
    <t>051-518-1008</t>
  </si>
  <si>
    <t>스마트샵</t>
  </si>
  <si>
    <t>01044</t>
  </si>
  <si>
    <t>삼양로138길 3 지층</t>
  </si>
  <si>
    <t xml:space="preserve">서울특별시 강북구 삼양로138길 3 지층 (우 : 01044) </t>
  </si>
  <si>
    <t>010-3622-6696</t>
  </si>
  <si>
    <t>짐플랫폼연구소</t>
  </si>
  <si>
    <t>04363</t>
  </si>
  <si>
    <t>원효로 123-6 2층 (주)짐플랫폼연구소</t>
  </si>
  <si>
    <t xml:space="preserve">서울특별시 용산구 원효로 123-6 2층 (주)짐플랫폼연구소 (우 : 04363) </t>
  </si>
  <si>
    <t>070-4194-9400</t>
  </si>
  <si>
    <t>에이비</t>
  </si>
  <si>
    <t>42433</t>
  </si>
  <si>
    <t>대구광역시 남구</t>
  </si>
  <si>
    <t>명덕로 322 101호 에이비</t>
  </si>
  <si>
    <t xml:space="preserve">대구광역시 남구 명덕로 322 101호 에이비 (우 : 42433) </t>
  </si>
  <si>
    <t>010-2325-4676</t>
  </si>
  <si>
    <t>완도청년</t>
  </si>
  <si>
    <t>04764</t>
  </si>
  <si>
    <t>살곶이길 348 (하룡각) 완도청년</t>
  </si>
  <si>
    <t xml:space="preserve">서울특별시 성동구 살곶이길 348 (하룡각) 완도청년 (우 : 04764) </t>
  </si>
  <si>
    <t>010-7295-1421</t>
  </si>
  <si>
    <t>아이시스 키친트레이</t>
  </si>
  <si>
    <t>산남로 62-27 (주)아이시스</t>
  </si>
  <si>
    <t xml:space="preserve">경기도 파주시 산남로 62-27 (주)아이시스 (우 : 10882) </t>
  </si>
  <si>
    <t>보따리</t>
  </si>
  <si>
    <t>07072</t>
  </si>
  <si>
    <t>신대방1가길 38 (동작상떼빌아파트) 106-310</t>
  </si>
  <si>
    <t xml:space="preserve">서울특별시 동작구 신대방1가길 38 (동작상떼빌아파트) 106-310 (우 : 07072) </t>
  </si>
  <si>
    <t>010-5363-4701</t>
  </si>
  <si>
    <t>02-6952-8944</t>
  </si>
  <si>
    <t>에스에이치컴퍼니</t>
  </si>
  <si>
    <t>15011</t>
  </si>
  <si>
    <t>서울대학로278번길 43-7 (배곧 유호 N-CITY 1차) 7층 27호</t>
  </si>
  <si>
    <t xml:space="preserve">경기도 시흥시 서울대학로278번길 43-7 (배곧 유호 N-CITY 1차) 7층 27호 (우 : 15011) </t>
  </si>
  <si>
    <t>011-111-1111</t>
  </si>
  <si>
    <t>삼덕사 대나무</t>
  </si>
  <si>
    <t>42659</t>
  </si>
  <si>
    <t>두류공원로50길 50 50길 28-2(두류동) 삼덕사</t>
  </si>
  <si>
    <t xml:space="preserve">대구광역시 달서구 두류공원로50길 50 50길 28-2(두류동) 삼덕사 (우 : 42659) </t>
  </si>
  <si>
    <t>0111-1111</t>
  </si>
  <si>
    <t>브이씨</t>
  </si>
  <si>
    <t>22662</t>
  </si>
  <si>
    <t>검단로188번길 19 (리드산업) 브이씨</t>
  </si>
  <si>
    <t xml:space="preserve">인천광역시 서구 검단로188번길 19 (리드산업) 브이씨 (우 : 22662) </t>
  </si>
  <si>
    <t>010-8276-1225</t>
  </si>
  <si>
    <t>제니아 인터네셔널</t>
  </si>
  <si>
    <t>13595</t>
  </si>
  <si>
    <t>황새울로 234 (분당트라팰리스) 667호 제니아 인터네셔널</t>
  </si>
  <si>
    <t xml:space="preserve">경기도 성남시 분당구 황새울로 234 (분당트라팰리스) 667호 제니아 인터네셔널 (우 : 13595) </t>
  </si>
  <si>
    <t>032-715-8479</t>
  </si>
  <si>
    <t>서하로 111 3층 2호</t>
  </si>
  <si>
    <t xml:space="preserve">광주광역시 북구 서하로 111 3층 2호 (우 : 61061) </t>
  </si>
  <si>
    <t>와이제이컴퍼니</t>
  </si>
  <si>
    <t>11922</t>
  </si>
  <si>
    <t>경기도 구리시</t>
  </si>
  <si>
    <t>경춘로 239 (리맥스빌딩) CJ 대한통운 청연대리점</t>
  </si>
  <si>
    <t xml:space="preserve">경기도 구리시 경춘로 239 (리맥스빌딩) CJ 대한통운 청연대리점 (우 : 11922) </t>
  </si>
  <si>
    <t>010-9961-4351</t>
  </si>
  <si>
    <t>인클로즈 화장품 반품지</t>
  </si>
  <si>
    <t>북항로193번길 111 A동</t>
  </si>
  <si>
    <t xml:space="preserve">인천광역시 서구 북항로193번길 111 A동 (우 : 22856) </t>
  </si>
  <si>
    <t>070-4222-3029</t>
  </si>
  <si>
    <t>인클로즈 화장품 출고지</t>
  </si>
  <si>
    <t>22007</t>
  </si>
  <si>
    <t>인천타워대로 323 (송도 센트로드) 오피스B동 2105,2106호</t>
  </si>
  <si>
    <t xml:space="preserve">인천광역시 연수구 인천타워대로 323 (송도 센트로드) 오피스B동 2105,2106호 (우 : 22007) </t>
  </si>
  <si>
    <t>새벽시장 논산딸기</t>
  </si>
  <si>
    <t>320922</t>
  </si>
  <si>
    <t>충청남도 논산시 노성면</t>
  </si>
  <si>
    <t>하도리 61-7</t>
  </si>
  <si>
    <t xml:space="preserve">충청남도 논산시 노성면 하도리 61-7 (우 : 320922) </t>
  </si>
  <si>
    <t>010-7202-2910</t>
  </si>
  <si>
    <t>010-3339-4510</t>
  </si>
  <si>
    <t>새벽시장</t>
  </si>
  <si>
    <t>56417</t>
  </si>
  <si>
    <t>전라북도 고창군 부안면</t>
  </si>
  <si>
    <t>복분자로 520 (풍천장어 웰빙식품센터)</t>
  </si>
  <si>
    <t xml:space="preserve">전라북도 고창군 부안면 복분자로 520 (풍천장어 웰빙식품센터) (우 : 56417) </t>
  </si>
  <si>
    <t>이엔더블유마스크</t>
  </si>
  <si>
    <t>아이비알</t>
  </si>
  <si>
    <t>21314</t>
  </si>
  <si>
    <t>부평북로 183-1 3층</t>
  </si>
  <si>
    <t xml:space="preserve">인천광역시 부평구 부평북로 183-1 3층 (우 : 21314) </t>
  </si>
  <si>
    <t>010-2987-0085</t>
  </si>
  <si>
    <t>주식회사 연두</t>
  </si>
  <si>
    <t>59123</t>
  </si>
  <si>
    <t>전라남도 완도군 완도읍</t>
  </si>
  <si>
    <t>군내길 3 (국립수산물품질검사원)</t>
  </si>
  <si>
    <t xml:space="preserve">전라남도 완도군 완도읍 군내길 3 (국립수산물품질검사원) (우 : 59123) </t>
  </si>
  <si>
    <t>에이브이인사이드</t>
  </si>
  <si>
    <t>04773</t>
  </si>
  <si>
    <t>왕십리로 38 (홍성빌딩) 3층 333호</t>
  </si>
  <si>
    <t xml:space="preserve">서울특별시 성동구 왕십리로 38 (홍성빌딩) 3층 333호 (우 : 04773) </t>
  </si>
  <si>
    <t>010-6281-4987</t>
  </si>
  <si>
    <t>라이스하임</t>
  </si>
  <si>
    <t>08592</t>
  </si>
  <si>
    <t>가산디지털2로 14 (대륭테크노타운12차) 609호</t>
  </si>
  <si>
    <t xml:space="preserve">서울특별시 금천구 가산디지털2로 14 (대륭테크노타운12차) 609호 (우 : 08592) </t>
  </si>
  <si>
    <t>02-6407-7890</t>
  </si>
  <si>
    <t>010-2104-3402</t>
  </si>
  <si>
    <t>인벤트케이</t>
  </si>
  <si>
    <t>11167</t>
  </si>
  <si>
    <t>정금로 314</t>
  </si>
  <si>
    <t xml:space="preserve">경기도 포천시 가산면 정금로 314 (우 : 11167) </t>
  </si>
  <si>
    <t>010-6725-3585</t>
  </si>
  <si>
    <t>SH코스메틱</t>
  </si>
  <si>
    <t>06725</t>
  </si>
  <si>
    <t>서초중앙로2길 42 갑목빌딩 5층</t>
  </si>
  <si>
    <t xml:space="preserve">서울특별시 서초구 서초중앙로2길 42 갑목빌딩 5층 (우 : 06725) </t>
  </si>
  <si>
    <t>02-3018-4587</t>
  </si>
  <si>
    <t>02-3018-4588</t>
  </si>
  <si>
    <t>헤라PNT</t>
  </si>
  <si>
    <t>18338</t>
  </si>
  <si>
    <t>기안길 125</t>
  </si>
  <si>
    <t xml:space="preserve">경기도 화성시 기안길 125 (우 : 18338) </t>
  </si>
  <si>
    <t>02-838-3307</t>
  </si>
  <si>
    <t>010-8480-8850</t>
  </si>
  <si>
    <t>펀온라이프</t>
  </si>
  <si>
    <t>18469</t>
  </si>
  <si>
    <t>동탄기흥로 602 더퍼스트타워 602호</t>
  </si>
  <si>
    <t xml:space="preserve">경기도 화성시 동탄기흥로 602 더퍼스트타워 602호 (우 : 18469) </t>
  </si>
  <si>
    <t>010-4622-3021</t>
  </si>
  <si>
    <t>천년관솔</t>
  </si>
  <si>
    <t>11137</t>
  </si>
  <si>
    <t>경기도 포천시 신북면</t>
  </si>
  <si>
    <t>지동길 93-10</t>
  </si>
  <si>
    <t xml:space="preserve">경기도 포천시 신북면 지동길 93-10 (우 : 11137) </t>
  </si>
  <si>
    <t>010-2614-3500</t>
  </si>
  <si>
    <t>후리스타일</t>
  </si>
  <si>
    <t>14573</t>
  </si>
  <si>
    <t>부흥로401번길 15 102호 CJ대한통운 심곡대리점 후리스타일</t>
  </si>
  <si>
    <t xml:space="preserve">경기도 부천시 부흥로401번길 15 102호 CJ대한통운 심곡대리점 후리스타일 (우 : 14573) </t>
  </si>
  <si>
    <t>070-8909-9954</t>
  </si>
  <si>
    <t>010-3133-1372</t>
  </si>
  <si>
    <t>야잼</t>
  </si>
  <si>
    <t>45013</t>
  </si>
  <si>
    <t>울산광역시 울주군 서생면</t>
  </si>
  <si>
    <t>해맞이로 1615</t>
  </si>
  <si>
    <t xml:space="preserve">울산광역시 울주군 서생면 해맞이로 1615 (우 : 45013) </t>
  </si>
  <si>
    <t>010-4116-9444</t>
  </si>
  <si>
    <t>려문</t>
  </si>
  <si>
    <t>14016</t>
  </si>
  <si>
    <t>박달로 428 (아카데미테마타운) 11동 201호</t>
  </si>
  <si>
    <t xml:space="preserve">경기도 안양시 만안구 박달로 428 (아카데미테마타운) 11동 201호 (우 : 14016) </t>
  </si>
  <si>
    <t>010-7678-8456</t>
  </si>
  <si>
    <t>개성공방</t>
  </si>
  <si>
    <t>10848</t>
  </si>
  <si>
    <t>검산로 199 B동</t>
  </si>
  <si>
    <t xml:space="preserve">경기도 파주시 검산로 199 B동 (우 : 10848) </t>
  </si>
  <si>
    <t>070-4162-0369</t>
  </si>
  <si>
    <t>오라</t>
  </si>
  <si>
    <t>10831</t>
  </si>
  <si>
    <t>경기도 파주시 광탄면</t>
  </si>
  <si>
    <t>부흥로235번길 146 (태광조명) 개미창고</t>
  </si>
  <si>
    <t xml:space="preserve">경기도 파주시 광탄면 부흥로235번길 146 (태광조명) 개미창고 (우 : 10831) </t>
  </si>
  <si>
    <t>010-3747-8931</t>
  </si>
  <si>
    <t>마루매트</t>
  </si>
  <si>
    <t>10028</t>
  </si>
  <si>
    <t>경기도 김포시 대곶면</t>
  </si>
  <si>
    <t>대곶북로 527-57</t>
  </si>
  <si>
    <t xml:space="preserve">경기도 김포시 대곶면 대곶북로 527-57 (우 : 10028) </t>
  </si>
  <si>
    <t>031-986-7371</t>
  </si>
  <si>
    <t>010-3321-5081</t>
  </si>
  <si>
    <t>엘투케이</t>
  </si>
  <si>
    <t>03493</t>
  </si>
  <si>
    <t>증산로7길 27-12 윤성빌라 402호 엘투케이</t>
  </si>
  <si>
    <t xml:space="preserve">서울특별시 은평구 증산로7길 27-12 윤성빌라 402호 엘투케이 (우 : 03493) </t>
  </si>
  <si>
    <t>010-2978-6836</t>
  </si>
  <si>
    <t>모아텍코퍼레이션</t>
  </si>
  <si>
    <t>16039</t>
  </si>
  <si>
    <t>경기도 의왕시</t>
  </si>
  <si>
    <t>갈미2로 30 (미광프라자) 604호 (주)모아텍코퍼레이션 루비나 LED 시계</t>
  </si>
  <si>
    <t xml:space="preserve">경기도 의왕시 갈미2로 30 (미광프라자) 604호 (주)모아텍코퍼레이션 루비나 LED 시계 (우 : 16039) </t>
  </si>
  <si>
    <t>031-459-4150</t>
  </si>
  <si>
    <t>펜타그램</t>
  </si>
  <si>
    <t>04946</t>
  </si>
  <si>
    <t>영화사로5길 35 102호 펜타그램</t>
  </si>
  <si>
    <t xml:space="preserve">서울특별시 광진구 영화사로5길 35 102호 펜타그램 (우 : 04946) </t>
  </si>
  <si>
    <t>070-4238-4833</t>
  </si>
  <si>
    <t>주식회사 더윤</t>
  </si>
  <si>
    <t>07432</t>
  </si>
  <si>
    <t>신풍로22길 2-7 (더빌리지) 101호 주식회사 더윤</t>
  </si>
  <si>
    <t xml:space="preserve">서울특별시 영등포구 신풍로22길 2-7 (더빌리지) 101호 주식회사 더윤 (우 : 07432) </t>
  </si>
  <si>
    <t>02-835-8844</t>
  </si>
  <si>
    <t>다디단 궁중타래과자</t>
  </si>
  <si>
    <t>12051</t>
  </si>
  <si>
    <t>주곡로 154-9 궁중타래과자 다디단타래</t>
  </si>
  <si>
    <t xml:space="preserve">경기도 남양주시 진접읍 주곡로 154-9 궁중타래과자 다디단타래 (우 : 12051) </t>
  </si>
  <si>
    <t>031-572-1478</t>
  </si>
  <si>
    <t>푸드트리</t>
  </si>
  <si>
    <t>13230</t>
  </si>
  <si>
    <t>경기도 성남시 중원구</t>
  </si>
  <si>
    <t>갈마치로 186 (반포테크노피아) 704호</t>
  </si>
  <si>
    <t xml:space="preserve">경기도 성남시 중원구 갈마치로 186 (반포테크노피아) 704호 (우 : 13230) </t>
  </si>
  <si>
    <t>031-735-1550</t>
  </si>
  <si>
    <t>리우파츠</t>
  </si>
  <si>
    <t>06146</t>
  </si>
  <si>
    <t>봉은사로48길 44-17</t>
  </si>
  <si>
    <t xml:space="preserve">서울특별시 강남구 봉은사로48길 44-17 (우 : 06146) </t>
  </si>
  <si>
    <t>1800-1710</t>
  </si>
  <si>
    <t>02-585-9764</t>
  </si>
  <si>
    <t>상복명과원</t>
  </si>
  <si>
    <t>38180</t>
  </si>
  <si>
    <t>경상북도 경주시 건천읍</t>
  </si>
  <si>
    <t>부산성길 29</t>
  </si>
  <si>
    <t xml:space="preserve">경상북도 경주시 건천읍 부산성길 29 (우 : 38180) </t>
  </si>
  <si>
    <t>1599-3301</t>
  </si>
  <si>
    <t>서경디지털</t>
  </si>
  <si>
    <t>11906</t>
  </si>
  <si>
    <t>동구릉로 460 54-21</t>
  </si>
  <si>
    <t xml:space="preserve">경기도 구리시 동구릉로 460 54-21 (우 : 11906) </t>
  </si>
  <si>
    <t>02-712-6745</t>
  </si>
  <si>
    <t>070-4870-6025</t>
  </si>
  <si>
    <t>허브클리닉</t>
  </si>
  <si>
    <t>47549</t>
  </si>
  <si>
    <t>부산광역시 연제구</t>
  </si>
  <si>
    <t>반송로 6 (청우빌딩) 6층 허브클리닉</t>
  </si>
  <si>
    <t xml:space="preserve">부산광역시 연제구 반송로 6 (청우빌딩) 6층 허브클리닉 (우 : 47549) </t>
  </si>
  <si>
    <t>1833-5772</t>
  </si>
  <si>
    <t>바로와</t>
  </si>
  <si>
    <t>10202</t>
  </si>
  <si>
    <t>송산로214번길 6 바로와</t>
  </si>
  <si>
    <t xml:space="preserve">경기도 고양시 일산서구 송산로214번길 6 바로와 (우 : 10202) </t>
  </si>
  <si>
    <t>031-923-5022</t>
  </si>
  <si>
    <t>담을고</t>
  </si>
  <si>
    <t>07944</t>
  </si>
  <si>
    <t>은행정로17길 17 5층 담을고</t>
  </si>
  <si>
    <t xml:space="preserve">서울특별시 양천구 은행정로17길 17 5층 담을고 (우 : 07944) </t>
  </si>
  <si>
    <t>02-2602-1505</t>
  </si>
  <si>
    <t>삼양로138길 3 지층 스마트샵</t>
  </si>
  <si>
    <t xml:space="preserve">서울특별시 강북구 삼양로138길 3 지층 스마트샵 (우 : 01044) </t>
  </si>
  <si>
    <t>대성상사</t>
  </si>
  <si>
    <t>22132</t>
  </si>
  <si>
    <t>주안로35번길 8-15 (진명스카이빌) 502호 대성상사</t>
  </si>
  <si>
    <t xml:space="preserve">인천광역시 미추홀구 주안로35번길 8-15 (진명스카이빌) 502호 대성상사 (우 : 22132) </t>
  </si>
  <si>
    <t>070-2385-1880</t>
  </si>
  <si>
    <t>AB모니터 보성산업</t>
  </si>
  <si>
    <t>10049</t>
  </si>
  <si>
    <t>황금로257번길 10 보성산업</t>
  </si>
  <si>
    <t xml:space="preserve">경기도 김포시 양촌읍 황금로257번길 10 보성산업 (우 : 10049) </t>
  </si>
  <si>
    <t>031-986-1233</t>
  </si>
  <si>
    <t>010-2188-4475</t>
  </si>
  <si>
    <t>마켓츄 반품지</t>
  </si>
  <si>
    <t>14536</t>
  </si>
  <si>
    <t>도약로 144 CJ대한통운 경기부천중동집배점</t>
  </si>
  <si>
    <t xml:space="preserve">경기도 부천시 도약로 144 CJ대한통운 경기부천중동집배점 (우 : 14536) </t>
  </si>
  <si>
    <t>1661-7223</t>
  </si>
  <si>
    <t>마켓츄 출고지</t>
  </si>
  <si>
    <t>22126</t>
  </si>
  <si>
    <t>염전로 330 (주안 J Tower 1차  지식산업센터) 410호</t>
  </si>
  <si>
    <t xml:space="preserve">인천광역시 미추홀구 염전로 330 (주안 J Tower 1차  지식산업센터) 410호 (우 : 22126) </t>
  </si>
  <si>
    <t>엘씨엠싸이언스</t>
  </si>
  <si>
    <t>18589</t>
  </si>
  <si>
    <t>경기도 화성시 향남읍</t>
  </si>
  <si>
    <t>한두골안길 54-8 (주)엘씨엠싸이언스</t>
  </si>
  <si>
    <t xml:space="preserve">경기도 화성시 향남읍 한두골안길 54-8 (주)엘씨엠싸이언스 (우 : 18589) </t>
  </si>
  <si>
    <t>031-8058-4179</t>
  </si>
  <si>
    <t>가온</t>
  </si>
  <si>
    <t>43013</t>
  </si>
  <si>
    <t>대구광역시 달성군 구지면</t>
  </si>
  <si>
    <t>달성2차1로 95 ((주)효산) 주식회사 더가온</t>
  </si>
  <si>
    <t xml:space="preserve">대구광역시 달성군 구지면 달성2차1로 95 ((주)효산) 주식회사 더가온 (우 : 43013) </t>
  </si>
  <si>
    <t>053-611-4936</t>
  </si>
  <si>
    <t>웰벤트주식회사</t>
  </si>
  <si>
    <t>10068</t>
  </si>
  <si>
    <t>김포한강8로148번길 109 404호</t>
  </si>
  <si>
    <t xml:space="preserve">경기도 김포시 김포한강8로148번길 109 404호 (우 : 10068) </t>
  </si>
  <si>
    <t>070-8095-4928</t>
  </si>
  <si>
    <t>010-9240-5369</t>
  </si>
  <si>
    <t>AB슬라이드휠</t>
  </si>
  <si>
    <t>21077</t>
  </si>
  <si>
    <t>아나지로 544 계양작전대리점 AB슬라이드휠</t>
  </si>
  <si>
    <t xml:space="preserve">인천광역시 계양구 아나지로 544 계양작전대리점 AB슬라이드휠 (우 : 21077) </t>
  </si>
  <si>
    <t>010-4759-6594</t>
  </si>
  <si>
    <t>만컴즈 USB가습기</t>
  </si>
  <si>
    <t>22639</t>
  </si>
  <si>
    <t>완정로7번길 6-11 (창우아이빌) #605 만컴즈</t>
  </si>
  <si>
    <t xml:space="preserve">인천광역시 서구 완정로7번길 6-11 (창우아이빌) #605 만컴즈 (우 : 22639) </t>
  </si>
  <si>
    <t>010-7720-2077</t>
  </si>
  <si>
    <t>썬웨이브</t>
  </si>
  <si>
    <t>16676</t>
  </si>
  <si>
    <t>경기도 수원시 영통구</t>
  </si>
  <si>
    <t>영통로323번길 38 (성신테크노파크) 402호</t>
  </si>
  <si>
    <t xml:space="preserve">경기도 수원시 영통구 영통로323번길 38 (성신테크노파크) 402호 (우 : 16676) </t>
  </si>
  <si>
    <t>031-546-6540</t>
  </si>
  <si>
    <t>닥터아이언 샴푸</t>
  </si>
  <si>
    <t>31035</t>
  </si>
  <si>
    <t>충청남도 천안시 서북구 직산읍</t>
  </si>
  <si>
    <t>직산로 136 ((재)충남테크노파크천안밸리) 번영관 2310호 닥터아이언</t>
  </si>
  <si>
    <t xml:space="preserve">충청남도 천안시 서북구 직산읍 직산로 136 ((재)충남테크노파크천안밸리) 번영관 2310호 닥터아이언 (우 : 31035) </t>
  </si>
  <si>
    <t>010-3761-6699</t>
  </si>
  <si>
    <t>한양의료기</t>
  </si>
  <si>
    <t>54929</t>
  </si>
  <si>
    <t>전라북도 전주시 덕진구</t>
  </si>
  <si>
    <t>안덕원로 111 (한양의료기) 한양의료기</t>
  </si>
  <si>
    <t xml:space="preserve">전라북도 전주시 덕진구 안덕원로 111 (한양의료기) 한양의료기 (우 : 54929) </t>
  </si>
  <si>
    <t>010-2098-8109</t>
  </si>
  <si>
    <t>아이미르</t>
  </si>
  <si>
    <t>14414</t>
  </si>
  <si>
    <t>고강로 60 (주영빌라트) 204호</t>
  </si>
  <si>
    <t xml:space="preserve">경기도 부천시 고강로 60 (주영빌라트) 204호 (우 : 14414) </t>
  </si>
  <si>
    <t>070-5102-4891</t>
  </si>
  <si>
    <t>제무</t>
  </si>
  <si>
    <t>11725</t>
  </si>
  <si>
    <t>동일로104번길 26</t>
  </si>
  <si>
    <t xml:space="preserve">경기도 의정부시 동일로104번길 26 (우 : 11725) </t>
  </si>
  <si>
    <t>02-904-2012</t>
  </si>
  <si>
    <t>010-5720-4890</t>
  </si>
  <si>
    <t>미르필름</t>
  </si>
  <si>
    <t>03978</t>
  </si>
  <si>
    <t>성미산로 85 한성빌딩 1층</t>
  </si>
  <si>
    <t xml:space="preserve">서울특별시 마포구 성미산로 85 한성빌딩 1층 (우 : 03978) </t>
  </si>
  <si>
    <t>070-8146-8890</t>
  </si>
  <si>
    <t>010-2066-5654</t>
  </si>
  <si>
    <t>에덴21 개미허리쿠션</t>
  </si>
  <si>
    <t>48058</t>
  </si>
  <si>
    <t>부산광역시 해운대구</t>
  </si>
  <si>
    <t>센텀중앙로 97 (센텀스카이비즈) A동 2305호 (주)에덴21</t>
  </si>
  <si>
    <t xml:space="preserve">부산광역시 해운대구 센텀중앙로 97 (센텀스카이비즈) A동 2305호 (주)에덴21 (우 : 48058) </t>
  </si>
  <si>
    <t>051-929-2100</t>
  </si>
  <si>
    <t>에덴21 발송지</t>
  </si>
  <si>
    <t>부흥로235번길 146 (태광조명) (주)온채널 물류센터</t>
  </si>
  <si>
    <t xml:space="preserve">경기도 파주시 광탄면 부흥로235번길 146 (태광조명) (주)온채널 물류센터 (우 : 10831) </t>
  </si>
  <si>
    <t>파워업플러스</t>
  </si>
  <si>
    <t>04969</t>
  </si>
  <si>
    <t>아차산로76길 32 (정희빌딩) 201호 파워업플러스</t>
  </si>
  <si>
    <t xml:space="preserve">서울특별시 광진구 아차산로76길 32 (정희빌딩) 201호 파워업플러스 (우 : 04969) </t>
  </si>
  <si>
    <t>010-9786-8488</t>
  </si>
  <si>
    <t>홈앤비전</t>
  </si>
  <si>
    <t>완정로 23 (덕안빌딩) 홈앤비전 5층</t>
  </si>
  <si>
    <t xml:space="preserve">인천광역시 서구 완정로 23 (덕안빌딩) 홈앤비전 5층 (우 : 22639) </t>
  </si>
  <si>
    <t>032-562-7150</t>
  </si>
  <si>
    <t>디어프랜즈</t>
  </si>
  <si>
    <t>10402</t>
  </si>
  <si>
    <t>정발산로 31-10 (파크프라자) 파크프라자 306-1호 디어프랜즈</t>
  </si>
  <si>
    <t xml:space="preserve">경기도 고양시 일산동구 정발산로 31-10 (파크프라자) 파크프라자 306-1호 디어프랜즈 (우 : 10402) </t>
  </si>
  <si>
    <t>010-2675-7425</t>
  </si>
  <si>
    <t>포기노</t>
  </si>
  <si>
    <t>04624</t>
  </si>
  <si>
    <t>필동로 15-8 포기노</t>
  </si>
  <si>
    <t xml:space="preserve">서울특별시 중구 필동로 15-8 포기노 (우 : 04624) </t>
  </si>
  <si>
    <t>070-4064-7852</t>
  </si>
  <si>
    <t>플랜비</t>
  </si>
  <si>
    <t>13903</t>
  </si>
  <si>
    <t>연현로 79 (한양수자인아파트) 101-1003</t>
  </si>
  <si>
    <t xml:space="preserve">경기도 안양시 만안구 연현로 79 (한양수자인아파트) 101-1003 (우 : 13903) </t>
  </si>
  <si>
    <t>010-4730-8432</t>
  </si>
  <si>
    <t>테이포프</t>
  </si>
  <si>
    <t>04793</t>
  </si>
  <si>
    <t>성수일로12길 20 (성동안심상가) 601호 테이포프</t>
  </si>
  <si>
    <t xml:space="preserve">서울특별시 성동구 성수일로12길 20 (성동안심상가) 601호 테이포프 (우 : 04793) </t>
  </si>
  <si>
    <t>010-9995-0492</t>
  </si>
  <si>
    <t>이엘키야쿠</t>
  </si>
  <si>
    <t>10341</t>
  </si>
  <si>
    <t>원일로 117 (MEGACITY) 일산메가시티 106호</t>
  </si>
  <si>
    <t xml:space="preserve">경기도 고양시 일산서구 원일로 117 (MEGACITY) 일산메가시티 106호 (우 : 10341) </t>
  </si>
  <si>
    <t>010-5591-7779</t>
  </si>
  <si>
    <t>주식회사 수나비</t>
  </si>
  <si>
    <t>10023</t>
  </si>
  <si>
    <t>경기도 김포시 월곶면</t>
  </si>
  <si>
    <t>월하로 128-1 주식회사 수나비</t>
  </si>
  <si>
    <t xml:space="preserve">경기도 김포시 월곶면 월하로 128-1 주식회사 수나비 (우 : 10023) </t>
  </si>
  <si>
    <t>031-987-2987</t>
  </si>
  <si>
    <t>010-3734-8098</t>
  </si>
  <si>
    <t>해쉬코리아</t>
  </si>
  <si>
    <t>44778</t>
  </si>
  <si>
    <t>울산광역시 남구</t>
  </si>
  <si>
    <t>납도로 160 (골든카고(주)) 1층 해쉬코리아</t>
  </si>
  <si>
    <t xml:space="preserve">울산광역시 남구 납도로 160 (골든카고(주)) 1층 해쉬코리아 (우 : 44778) </t>
  </si>
  <si>
    <t>070-8286-0376</t>
  </si>
  <si>
    <t>차덕후</t>
  </si>
  <si>
    <t>46506</t>
  </si>
  <si>
    <t>효열로235번길 11 2층 차덕후 사무실</t>
  </si>
  <si>
    <t xml:space="preserve">부산광역시 북구 효열로235번길 11 2층 차덕후 사무실 (우 : 46506) </t>
  </si>
  <si>
    <t>070-4110-0147</t>
  </si>
  <si>
    <t>우와티브이</t>
  </si>
  <si>
    <t>02208</t>
  </si>
  <si>
    <t>서울특별시 중랑구</t>
  </si>
  <si>
    <t>용마산로 361 (영스포츠) 3층 우와티브이</t>
  </si>
  <si>
    <t xml:space="preserve">서울특별시 중랑구 용마산로 361 (영스포츠) 3층 우와티브이 (우 : 02208) </t>
  </si>
  <si>
    <t>1522-5417</t>
  </si>
  <si>
    <t>룩포레스트</t>
  </si>
  <si>
    <t>아나지로 524-1 2층 룩포레스트</t>
  </si>
  <si>
    <t xml:space="preserve">인천광역시 계양구 아나지로 524-1 2층 룩포레스트 (우 : 21077) </t>
  </si>
  <si>
    <t>070-4279-7000</t>
  </si>
  <si>
    <t>새남맥스</t>
  </si>
  <si>
    <t>38551</t>
  </si>
  <si>
    <t>경상북도 경산시 자인면</t>
  </si>
  <si>
    <t>자인공단3로 21 새남맥스</t>
  </si>
  <si>
    <t xml:space="preserve">경상북도 경산시 자인면 자인공단3로 21 새남맥스 (우 : 38551) </t>
  </si>
  <si>
    <t>010-3925-0833</t>
  </si>
  <si>
    <t>010-3925-8033</t>
  </si>
  <si>
    <t>편백나무 도마</t>
  </si>
  <si>
    <t>11152</t>
  </si>
  <si>
    <t>경기도 포천시 군내면</t>
  </si>
  <si>
    <t>청군로 3291 섬진기업</t>
  </si>
  <si>
    <t xml:space="preserve">경기도 포천시 군내면 청군로 3291 섬진기업 (우 : 11152) </t>
  </si>
  <si>
    <t>031-533-6481</t>
  </si>
  <si>
    <t>옥수 건강식품</t>
  </si>
  <si>
    <t>06307</t>
  </si>
  <si>
    <t>논현로 70 (동성빌딩) 동성빌딩 3층 옥수 건강식품</t>
  </si>
  <si>
    <t xml:space="preserve">서울특별시 강남구 논현로 70 (동성빌딩) 동성빌딩 3층 옥수 건강식품 (우 : 06307) </t>
  </si>
  <si>
    <t>02-555-0111</t>
  </si>
  <si>
    <t>010-7433-6620</t>
  </si>
  <si>
    <t>꽃가람</t>
  </si>
  <si>
    <t>15497</t>
  </si>
  <si>
    <t>천문4길 3 1층</t>
  </si>
  <si>
    <t xml:space="preserve">경기도 안산시 상록구 천문4길 3 1층 (우 : 15497) </t>
  </si>
  <si>
    <t>에이온라이팅</t>
  </si>
  <si>
    <t>14523</t>
  </si>
  <si>
    <t>도약로 261 (부천대우테크노파크) D동 1509호</t>
  </si>
  <si>
    <t xml:space="preserve">경기도 부천시 도약로 261 (부천대우테크노파크) D동 1509호 (우 : 14523) </t>
  </si>
  <si>
    <t>070-7848-6999</t>
  </si>
  <si>
    <t>트레이드마스터</t>
  </si>
  <si>
    <t>08503</t>
  </si>
  <si>
    <t>가산디지털2로 156 (대한통운 가산동 택배터미널) B1 주식회사 트레이드마스터</t>
  </si>
  <si>
    <t xml:space="preserve">서울특별시 금천구 가산디지털2로 156 (대한통운 가산동 택배터미널) B1 주식회사 트레이드마스터 (우 : 08503) </t>
  </si>
  <si>
    <t>010-6239-0625</t>
  </si>
  <si>
    <t>미남 자전거 블랙박스</t>
  </si>
  <si>
    <t>04353</t>
  </si>
  <si>
    <t>한강대로 210 101호</t>
  </si>
  <si>
    <t xml:space="preserve">서울특별시 용산구 한강대로 210 101호 (우 : 04353) </t>
  </si>
  <si>
    <t>02-790-7333</t>
  </si>
  <si>
    <t>010-9212-9302</t>
  </si>
  <si>
    <t>에스오피</t>
  </si>
  <si>
    <t>04788</t>
  </si>
  <si>
    <t>광나루로 130 (서울숲IT캐슬) 1406호</t>
  </si>
  <si>
    <t xml:space="preserve">서울특별시 성동구 광나루로 130 (서울숲IT캐슬) 1406호 (우 : 04788) </t>
  </si>
  <si>
    <t>070-4610-0410</t>
  </si>
  <si>
    <t>영일기획</t>
  </si>
  <si>
    <t>14524</t>
  </si>
  <si>
    <t>도약로282번길 20 (대영빌딩) 3층 303호 영일기획</t>
  </si>
  <si>
    <t xml:space="preserve">경기도 부천시 도약로282번길 20 (대영빌딩) 3층 303호 영일기획 (우 : 14524) </t>
  </si>
  <si>
    <t>032-611-0801</t>
  </si>
  <si>
    <t>웰포유</t>
  </si>
  <si>
    <t>05836</t>
  </si>
  <si>
    <t>법원로11길 11 (문정현대지식산업센터1-1) A동 1312호 웰포유</t>
  </si>
  <si>
    <t xml:space="preserve">서울특별시 송파구 법원로11길 11 (문정현대지식산업센터1-1) A동 1312호 웰포유 (우 : 05836) </t>
  </si>
  <si>
    <t>02-485-4227</t>
  </si>
  <si>
    <t>010-2604-7101</t>
  </si>
  <si>
    <t>노바리빙</t>
  </si>
  <si>
    <t>12798</t>
  </si>
  <si>
    <t>경기도 광주시 오포읍</t>
  </si>
  <si>
    <t>회안대로71번길 42 노바리빙</t>
  </si>
  <si>
    <t xml:space="preserve">경기도 광주시 오포읍 회안대로71번길 42 노바리빙 (우 : 12798) </t>
  </si>
  <si>
    <t>070-7572-4880</t>
  </si>
  <si>
    <t>010-3902-4880</t>
  </si>
  <si>
    <t>치즈탱크</t>
  </si>
  <si>
    <t>송도미래로 30 (송도 BRC 스마트밸리 지식산업센터) A동 1601-2호</t>
  </si>
  <si>
    <t xml:space="preserve">인천광역시 연수구 송도미래로 30 (송도 BRC 스마트밸리 지식산업센터) A동 1601-2호 (우 : 21990) </t>
  </si>
  <si>
    <t>032-221-4814</t>
  </si>
  <si>
    <t>010-4814-2640</t>
  </si>
  <si>
    <t>오복이네</t>
  </si>
  <si>
    <t>40028</t>
  </si>
  <si>
    <t>경상북도 성주군 성주읍</t>
  </si>
  <si>
    <t>시장길 43-1 102동 106호 오복</t>
  </si>
  <si>
    <t xml:space="preserve">경상북도 성주군 성주읍 시장길 43-1 102동 106호 오복 (우 : 40028) </t>
  </si>
  <si>
    <t>010-3959-6537</t>
  </si>
  <si>
    <t>태양에프앤씨</t>
  </si>
  <si>
    <t>10518</t>
  </si>
  <si>
    <t>충장로 118-27 (구암프라자) 구암빌딩 2층 태양F&amp;C</t>
  </si>
  <si>
    <t xml:space="preserve">경기도 고양시 덕양구 충장로 118-27 (구암프라자) 구암빌딩 2층 태양F&amp;C (우 : 10518) </t>
  </si>
  <si>
    <t>1670-9592</t>
  </si>
  <si>
    <t>하이차이나 홈트펫</t>
  </si>
  <si>
    <t>21906</t>
  </si>
  <si>
    <t>계림로112번길 27 (현대주택) B동 303호</t>
  </si>
  <si>
    <t xml:space="preserve">인천광역시 연수구 계림로112번길 27 (현대주택) B동 303호 (우 : 21906) </t>
  </si>
  <si>
    <t>010-3021-7747</t>
  </si>
  <si>
    <t>알코즈</t>
  </si>
  <si>
    <t>16705</t>
  </si>
  <si>
    <t>청명로21번길 19 (탑빌딩) 661호</t>
  </si>
  <si>
    <t xml:space="preserve">경기도 수원시 영통구 청명로21번길 19 (탑빌딩) 661호 (우 : 16705) </t>
  </si>
  <si>
    <t>070-7178-9991</t>
  </si>
  <si>
    <t>센텍코리아</t>
  </si>
  <si>
    <t>10880</t>
  </si>
  <si>
    <t>지목로75번길 21-6 ((주)센텍코리아)</t>
  </si>
  <si>
    <t xml:space="preserve">경기도 파주시 지목로75번길 21-6 ((주)센텍코리아) (우 : 10880) </t>
  </si>
  <si>
    <t>031-8071-4400</t>
  </si>
  <si>
    <t>설리마켓</t>
  </si>
  <si>
    <t>07229</t>
  </si>
  <si>
    <t>영중로38길 6 (더로드2) 더로드2 설리마켓</t>
  </si>
  <si>
    <t xml:space="preserve">서울특별시 영등포구 영중로38길 6 (더로드2) 더로드2 설리마켓 (우 : 07229) </t>
  </si>
  <si>
    <t>010-4067-4311</t>
  </si>
  <si>
    <t>서하로 111 3층 2호 주식회사 아이시스</t>
  </si>
  <si>
    <t xml:space="preserve">광주광역시 북구 서하로 111 3층 2호 주식회사 아이시스 (우 : 61061) </t>
  </si>
  <si>
    <t>010-7682-2282</t>
  </si>
  <si>
    <t>010-6390-3194</t>
  </si>
  <si>
    <t>힐링글로벌 유한책임회사</t>
  </si>
  <si>
    <t>16107</t>
  </si>
  <si>
    <t>월암길 70 물류창고 힐링글로벌 유한책임회사</t>
  </si>
  <si>
    <t xml:space="preserve">경기도 의왕시 월암길 70 물류창고 힐링글로벌 유한책임회사 (우 : 16107) </t>
  </si>
  <si>
    <t>010-9767-9068</t>
  </si>
  <si>
    <t>트러스트리</t>
  </si>
  <si>
    <t>16681</t>
  </si>
  <si>
    <t>신원로 88 (디지털엠파이어2) 103동 1002호 트러스트리</t>
  </si>
  <si>
    <t xml:space="preserve">경기도 수원시 영통구 신원로 88 (디지털엠파이어2) 103동 1002호 트러스트리 (우 : 16681) </t>
  </si>
  <si>
    <t>031-8001-6380</t>
  </si>
  <si>
    <t>010-9329-6830</t>
  </si>
  <si>
    <t>미립</t>
  </si>
  <si>
    <t>35414</t>
  </si>
  <si>
    <t>유등로 27 1층 미립</t>
  </si>
  <si>
    <t xml:space="preserve">대전광역시 서구 유등로 27 1층 미립 (우 : 35414) </t>
  </si>
  <si>
    <t>070-4400-4909</t>
  </si>
  <si>
    <t>010-3412-3126</t>
  </si>
  <si>
    <t>검산로 199 주식회사 바로와</t>
  </si>
  <si>
    <t xml:space="preserve">경기도 파주시 검산로 199 주식회사 바로와 (우 : 10848) </t>
  </si>
  <si>
    <t>02-1588-8441</t>
  </si>
  <si>
    <t>010-2592-5022</t>
  </si>
  <si>
    <t>미래SMT</t>
  </si>
  <si>
    <t>삼작로 22 (부천테크노파크) 102동 401~405호 미래SMT 하영수 담당자님</t>
  </si>
  <si>
    <t xml:space="preserve">경기도 부천시 삼작로 22 (부천테크노파크) 102동 401~405호 미래SMT 하영수 담당자님 (우 : 14501) </t>
  </si>
  <si>
    <t>010-6605-4199</t>
  </si>
  <si>
    <t>뉴브레인 에듀</t>
  </si>
  <si>
    <t>35052</t>
  </si>
  <si>
    <t>대전광역시 중구</t>
  </si>
  <si>
    <t>보문산공원로 469 1층 뉴브레인에듀</t>
  </si>
  <si>
    <t xml:space="preserve">대전광역시 중구 보문산공원로 469 1층 뉴브레인에듀 (우 : 35052) </t>
  </si>
  <si>
    <t>042-255-6626</t>
  </si>
  <si>
    <t>010-9115-6110</t>
  </si>
  <si>
    <t>플레이위즈</t>
  </si>
  <si>
    <t>41028</t>
  </si>
  <si>
    <t>대구광역시 동구</t>
  </si>
  <si>
    <t>팔공로53길 143 플레이위즈</t>
  </si>
  <si>
    <t xml:space="preserve">대구광역시 동구 팔공로53길 143 플레이위즈 (우 : 41028) </t>
  </si>
  <si>
    <t>010-8858-2526</t>
  </si>
  <si>
    <t>VKV 탁상용 미니선풍</t>
  </si>
  <si>
    <t>16846</t>
  </si>
  <si>
    <t>풍덕천로22번길 61 카나 탁상용 선풍기</t>
  </si>
  <si>
    <t xml:space="preserve">경기도 용인시 수지구 풍덕천로22번길 61 카나 탁상용 선풍기 (우 : 16846) </t>
  </si>
  <si>
    <t>031-276-1640</t>
  </si>
  <si>
    <t>JB자동차매트</t>
  </si>
  <si>
    <t>달성2차1로 95 ((주)효산) JB자동차 가온카매트</t>
  </si>
  <si>
    <t xml:space="preserve">대구광역시 달성군 구지면 달성2차1로 95 ((주)효산) JB자동차 가온카매트 (우 : 43013) </t>
  </si>
  <si>
    <t>010-9642-6941</t>
  </si>
  <si>
    <t>까르페티앙 애견용품</t>
  </si>
  <si>
    <t>03335</t>
  </si>
  <si>
    <t>갈현로 182 (대원 빌딩) 6층 까르페디앙 애견용품</t>
  </si>
  <si>
    <t xml:space="preserve">서울특별시 은평구 갈현로 182 (대원 빌딩) 6층 까르페디앙 애견용품 (우 : 03335) </t>
  </si>
  <si>
    <t>010-5606-3029</t>
  </si>
  <si>
    <t>다인</t>
  </si>
  <si>
    <t>10129</t>
  </si>
  <si>
    <t>경기도 김포시 고촌읍</t>
  </si>
  <si>
    <t>김포대로319번길 13-13 고촌3영업소</t>
  </si>
  <si>
    <t xml:space="preserve">경기도 김포시 고촌읍 김포대로319번길 13-13 고촌3영업소 (우 : 10129) </t>
  </si>
  <si>
    <t>010-3400-7044</t>
  </si>
  <si>
    <t>다나통상</t>
  </si>
  <si>
    <t>156030</t>
  </si>
  <si>
    <t>상도동 171-3 다나통상</t>
  </si>
  <si>
    <t xml:space="preserve">서울특별시 동작구 상도동 171-3 다나통상 (우 : 156030) </t>
  </si>
  <si>
    <t>02-793-5146</t>
  </si>
  <si>
    <t>010-7102-8900</t>
  </si>
  <si>
    <t>매노팜</t>
  </si>
  <si>
    <t>31094</t>
  </si>
  <si>
    <t>충청남도 천안시 서북구</t>
  </si>
  <si>
    <t>백석공단1로 10 천안미래에이스 하이테크시티 A동 B109호 (주)매노팜</t>
  </si>
  <si>
    <t xml:space="preserve">충청남도 천안시 서북구 백석공단1로 10 천안미래에이스 하이테크시티 A동 B109호 (주)매노팜 (우 : 31094) </t>
  </si>
  <si>
    <t>070-5151-9777</t>
  </si>
  <si>
    <t>010-2967-4103</t>
  </si>
  <si>
    <t>그로스컴퍼니</t>
  </si>
  <si>
    <t>46721</t>
  </si>
  <si>
    <t>유통단지1로 50 대저2동 부산티플렉스 203동 208호</t>
  </si>
  <si>
    <t xml:space="preserve">부산광역시 강서구 유통단지1로 50 대저2동 부산티플렉스 203동 208호 (우 : 46721) </t>
  </si>
  <si>
    <t>051-977-8809</t>
  </si>
  <si>
    <t>010-6365-9979</t>
  </si>
  <si>
    <t>왕십리로 38 (홍성빌딩) 3층 333호 에이브이인사이드</t>
  </si>
  <si>
    <t xml:space="preserve">서울특별시 성동구 왕십리로 38 (홍성빌딩) 3층 333호 에이브이인사이드 (우 : 04773) </t>
  </si>
  <si>
    <t>자이언트 캣</t>
  </si>
  <si>
    <t>22739</t>
  </si>
  <si>
    <t>청라에메랄드로102번길 8-18 (청라캐널큐브) 405호 자이언트 캣</t>
  </si>
  <si>
    <t xml:space="preserve">인천광역시 서구 청라에메랄드로102번길 8-18 (청라캐널큐브) 405호 자이언트 캣 (우 : 22739) </t>
  </si>
  <si>
    <t>010-5118-8086</t>
  </si>
  <si>
    <t>010-8225-8814</t>
  </si>
  <si>
    <t>비에스제이원</t>
  </si>
  <si>
    <t>10945</t>
  </si>
  <si>
    <t>경기도 파주시 월롱면</t>
  </si>
  <si>
    <t xml:space="preserve">황소바위길 342-46 </t>
  </si>
  <si>
    <t xml:space="preserve">경기도 파주시 월롱면 황소바위길 342-46 (우 : 10945) </t>
  </si>
  <si>
    <t>010-5446-6660</t>
  </si>
  <si>
    <t>08298</t>
  </si>
  <si>
    <t>공원로 3 (선경오피스텔) 1003호</t>
  </si>
  <si>
    <t xml:space="preserve">서울특별시 구로구 공원로 3 (선경오피스텔) 1003호 (우 : 08298) </t>
  </si>
  <si>
    <t>뉴한일의료기</t>
  </si>
  <si>
    <t>62236</t>
  </si>
  <si>
    <t>비아로147번길 32 뉴한일의료기</t>
  </si>
  <si>
    <t xml:space="preserve">광주광역시 광산구 비아로147번길 32 뉴한일의료기 (우 : 62236) </t>
  </si>
  <si>
    <t>010-2610-7045</t>
  </si>
  <si>
    <t>010-2672-7045</t>
  </si>
  <si>
    <t>유비코페레이션</t>
  </si>
  <si>
    <t>부천로3번길 48 901호 (심곡동, 피노키오 빌딩)</t>
  </si>
  <si>
    <t xml:space="preserve">경기도 부천시 부천로3번길 48 901호 (심곡동, 피노키오 빌딩) (우 : 14637) </t>
  </si>
  <si>
    <t>070-7843-7154</t>
  </si>
  <si>
    <t>SH코스메틱 그룹</t>
  </si>
  <si>
    <t>서초중앙로2길 42 갑목빌딩 5층 SH코스메틱 그룹</t>
  </si>
  <si>
    <t xml:space="preserve">서울특별시 서초구 서초중앙로2길 42 갑목빌딩 5층 SH코스메틱 그룹 (우 : 06725) </t>
  </si>
  <si>
    <t>로페코</t>
  </si>
  <si>
    <t>010-2063-1501</t>
  </si>
  <si>
    <t>블루선</t>
  </si>
  <si>
    <t>21690</t>
  </si>
  <si>
    <t>남동대로156번길 47 (네오세미테크) 남동공단 92블럭 12로트 블루선 2층</t>
  </si>
  <si>
    <t xml:space="preserve">인천광역시 남동구 남동대로156번길 47 (네오세미테크) 남동공단 92블럭 12로트 블루선 2층 (우 : 21690) </t>
  </si>
  <si>
    <t>010-2176-8587</t>
  </si>
  <si>
    <t>032-433-4010</t>
  </si>
  <si>
    <t>케이썸</t>
  </si>
  <si>
    <t>08264</t>
  </si>
  <si>
    <t>경인로 69 (한주물류센터) 한주글로벌 케이썸 각질제거기</t>
  </si>
  <si>
    <t xml:space="preserve">서울특별시 구로구 경인로 69 (한주물류센터) 한주글로벌 케이썸 각질제거기 (우 : 08264) </t>
  </si>
  <si>
    <t>02-2614-4700</t>
  </si>
  <si>
    <t>010-8650-1517</t>
  </si>
  <si>
    <t>HLS 창대</t>
  </si>
  <si>
    <t>04505</t>
  </si>
  <si>
    <t>서소문로6길 9 28, 상가 L층 B126호(순화동, 덕수궁 롯데캐슬) HLS 창대</t>
  </si>
  <si>
    <t xml:space="preserve">서울특별시 중구 서소문로6길 9 28, 상가 L층 B126호(순화동, 덕수궁 롯데캐슬) HLS 창대 (우 : 04505) </t>
  </si>
  <si>
    <t>070-7560-2182</t>
  </si>
  <si>
    <t>02-318-2187</t>
  </si>
  <si>
    <t>써치트레이딩</t>
  </si>
  <si>
    <t>18412</t>
  </si>
  <si>
    <t>경기대로 1025-5 (병점제일타운) 2층 오피스벨리 238호</t>
  </si>
  <si>
    <t xml:space="preserve">경기도 화성시 경기대로 1025-5 (병점제일타운) 2층 오피스벨리 238호 (우 : 18412) </t>
  </si>
  <si>
    <t>070-4888-5131</t>
  </si>
  <si>
    <t>해시카 반품지</t>
  </si>
  <si>
    <t>중앙로1261번길 79 (하이베라스) 601호 해시카 반품지</t>
  </si>
  <si>
    <t xml:space="preserve">경기도 고양시 일산동구 중앙로1261번길 79 (하이베라스) 601호 해시카 반품지 (우 : 10402) </t>
  </si>
  <si>
    <t>031-815-3928</t>
  </si>
  <si>
    <t>엘크래프트</t>
  </si>
  <si>
    <t>13627</t>
  </si>
  <si>
    <t>성남대로 156 (미금역) 현대 아리온 666호</t>
  </si>
  <si>
    <t xml:space="preserve">경기도 성남시 분당구 성남대로 156 (미금역) 현대 아리온 666호 (우 : 13627) </t>
  </si>
  <si>
    <t>010-3395-7996</t>
  </si>
  <si>
    <t>뷰티앤코리아</t>
  </si>
  <si>
    <t>03988</t>
  </si>
  <si>
    <t>연남로 29 뷰티앤뷰빌딩</t>
  </si>
  <si>
    <t xml:space="preserve">서울특별시 마포구 연남로 29 뷰티앤뷰빌딩 (우 : 03988) </t>
  </si>
  <si>
    <t>02-6370-3080</t>
  </si>
  <si>
    <t>듀얼</t>
  </si>
  <si>
    <t>32523</t>
  </si>
  <si>
    <t>충청남도 공주시 사곡면</t>
  </si>
  <si>
    <t>고당길 13-2 주식회사 듀얼</t>
  </si>
  <si>
    <t xml:space="preserve">충청남도 공주시 사곡면 고당길 13-2 주식회사 듀얼 (우 : 32523) </t>
  </si>
  <si>
    <t>010-5568-4991</t>
  </si>
  <si>
    <t>광수전자</t>
  </si>
  <si>
    <t>10934</t>
  </si>
  <si>
    <t>쇠재안길 4-1 광수전자</t>
  </si>
  <si>
    <t xml:space="preserve">경기도 파주시 쇠재안길 4-1 광수전자 (우 : 10934) </t>
  </si>
  <si>
    <t>070-4233-8991</t>
  </si>
  <si>
    <t>케이앤핫</t>
  </si>
  <si>
    <t>05680</t>
  </si>
  <si>
    <t>백제고분로34길 3-8 302호</t>
  </si>
  <si>
    <t xml:space="preserve">서울특별시 송파구 백제고분로34길 3-8 302호 (우 : 05680) </t>
  </si>
  <si>
    <t>010-7114-8085</t>
  </si>
  <si>
    <t>가가전자</t>
  </si>
  <si>
    <t>새창로 181 (선인상가) 21동 1층 239호</t>
  </si>
  <si>
    <t xml:space="preserve">서울특별시 용산구 새창로 181 (선인상가) 21동 1층 239호 (우 : 04371) </t>
  </si>
  <si>
    <t>02-706-1526</t>
  </si>
  <si>
    <t>하이마켓</t>
  </si>
  <si>
    <t>46271</t>
  </si>
  <si>
    <t>부곡로 148-1 하이마켓</t>
  </si>
  <si>
    <t xml:space="preserve">부산광역시 금정구 부곡로 148-1 하이마켓 (우 : 46271) </t>
  </si>
  <si>
    <t>010-5262-1091</t>
  </si>
  <si>
    <t>커피스토리</t>
  </si>
  <si>
    <t>31090</t>
  </si>
  <si>
    <t>오성로 39 (보령빌딩) 403호 커피스토리</t>
  </si>
  <si>
    <t xml:space="preserve">충청남도 천안시 서북구 오성로 39 (보령빌딩) 403호 커피스토리 (우 : 31090) </t>
  </si>
  <si>
    <t>1833-4657</t>
  </si>
  <si>
    <t>슈랙</t>
  </si>
  <si>
    <t>동을산로 5</t>
  </si>
  <si>
    <t xml:space="preserve">경기도 김포시 통진읍 동을산로 5 (우 : 10010) </t>
  </si>
  <si>
    <t>1800-5385</t>
  </si>
  <si>
    <t>덕영상사</t>
  </si>
  <si>
    <t>10500</t>
  </si>
  <si>
    <t>화신로272번길 11 (우경싸이트빌) 8층 802호</t>
  </si>
  <si>
    <t xml:space="preserve">경기도 고양시 덕양구 화신로272번길 11 (우경싸이트빌) 8층 802호 (우 : 10500) </t>
  </si>
  <si>
    <t>070-4282-4555</t>
  </si>
  <si>
    <t>에스제이디지텍</t>
  </si>
  <si>
    <t>청파로20길 9 (용산아이피아대주피오레) 대주파크빌 B1058 (주)에스제이디지텍</t>
  </si>
  <si>
    <t xml:space="preserve">서울특별시 용산구 청파로20길 9 (용산아이피아대주피오레) 대주파크빌 B1058 (주)에스제이디지텍 (우 : 04371) </t>
  </si>
  <si>
    <t>070-7782-7756</t>
  </si>
  <si>
    <t>010-7722-2660</t>
  </si>
  <si>
    <t>가마실로 25 2층 드림웰</t>
  </si>
  <si>
    <t xml:space="preserve">부산광역시 금정구 가마실로 25 2층 드림웰 (우 : 46303) </t>
  </si>
  <si>
    <t>아이캐스트</t>
  </si>
  <si>
    <t>15878</t>
  </si>
  <si>
    <t>번영로 82 (한국복합물류(주)) 서관 9층 글로리아로지스 아이캐스트</t>
  </si>
  <si>
    <t xml:space="preserve">경기도 군포시 번영로 82 (한국복합물류(주)) 서관 9층 글로리아로지스 아이캐스트 (우 : 15878) </t>
  </si>
  <si>
    <t>070-8800-4039</t>
  </si>
  <si>
    <t>닥터블링화장품</t>
  </si>
  <si>
    <t>10079</t>
  </si>
  <si>
    <t>김포한강2로24번길 134-33 1층 닥터블링 화장품</t>
  </si>
  <si>
    <t xml:space="preserve">경기도 김포시 김포한강2로24번길 134-33 1층 닥터블링 화장품 (우 : 10079) </t>
  </si>
  <si>
    <t>070-7392-6984</t>
  </si>
  <si>
    <t>010-4829-3703</t>
  </si>
  <si>
    <t>해시카</t>
  </si>
  <si>
    <t>중앙로1261번길 79 (하이베라스) 601호 해시카</t>
  </si>
  <si>
    <t xml:space="preserve">경기도 고양시 일산동구 중앙로1261번길 79 (하이베라스) 601호 해시카 (우 : 10402) </t>
  </si>
  <si>
    <t>드림에이</t>
  </si>
  <si>
    <t>10246</t>
  </si>
  <si>
    <t>고봉로 545 1층 드림에이</t>
  </si>
  <si>
    <t xml:space="preserve">경기도 고양시 일산동구 고봉로 545 1층 드림에이 (우 : 10246) </t>
  </si>
  <si>
    <t>031-838-0719</t>
  </si>
  <si>
    <t>삼덕사</t>
  </si>
  <si>
    <t>41459</t>
  </si>
  <si>
    <t>대구광역시 북구</t>
  </si>
  <si>
    <t>칠곡중앙대로53길 43 (태원빌라) 지하</t>
  </si>
  <si>
    <t xml:space="preserve">대구광역시 북구 칠곡중앙대로53길 43 (태원빌라) 지하 (우 : 41459) </t>
  </si>
  <si>
    <t>053-322-4512</t>
  </si>
  <si>
    <t>왁싱프로젝트</t>
  </si>
  <si>
    <t>16476</t>
  </si>
  <si>
    <t>경기도 수원시 팔달구</t>
  </si>
  <si>
    <t>세지로198번길 1 202호 왁싱프로젝트</t>
  </si>
  <si>
    <t xml:space="preserve">경기도 수원시 팔달구 세지로198번길 1 202호 왁싱프로젝트 (우 : 16476) </t>
  </si>
  <si>
    <t>010-6753-1215</t>
  </si>
  <si>
    <t>케이링크</t>
  </si>
  <si>
    <t>14548</t>
  </si>
  <si>
    <t>길주로 270 (중동대우마이빌2) 2718호</t>
  </si>
  <si>
    <t xml:space="preserve">경기도 부천시 길주로 270 (중동대우마이빌2) 2718호 (우 : 14548) </t>
  </si>
  <si>
    <t>010-9120-7352</t>
  </si>
  <si>
    <t>에덴21</t>
  </si>
  <si>
    <t>수영강변대로 140 (부산문화콘텐츠컴플렉스) CJ대한통운 우동집배점 (주)에덴21</t>
  </si>
  <si>
    <t xml:space="preserve">부산광역시 해운대구 수영강변대로 140 (부산문화콘텐츠컴플렉스) CJ대한통운 우동집배점 (주)에덴21 (우 : 48058) </t>
  </si>
  <si>
    <t>이고파워</t>
  </si>
  <si>
    <t>10910</t>
  </si>
  <si>
    <t>운정3길 27 B동</t>
  </si>
  <si>
    <t xml:space="preserve">경기도 파주시 운정3길 27 B동 (우 : 10910) </t>
  </si>
  <si>
    <t>031-914-4230</t>
  </si>
  <si>
    <t>박해진 샤인마스크</t>
  </si>
  <si>
    <t>가산디지털2로 156 (대한통운 가산동 택배터미널) 7층 (주)3PL</t>
  </si>
  <si>
    <t xml:space="preserve">서울특별시 금천구 가산디지털2로 156 (대한통운 가산동 택배터미널) 7층 (주)3PL (우 : 08503) </t>
  </si>
  <si>
    <t>1661-9420</t>
  </si>
  <si>
    <t>망고하우스</t>
  </si>
  <si>
    <t>07295</t>
  </si>
  <si>
    <t>문래로 92 (대소빌딩) 7층</t>
  </si>
  <si>
    <t xml:space="preserve">서울특별시 영등포구 문래로 92 (대소빌딩) 7층 (우 : 07295) </t>
  </si>
  <si>
    <t>유인나 S마스크</t>
  </si>
  <si>
    <t>12140</t>
  </si>
  <si>
    <t>사릉로 163-114 (주)지안뷰티</t>
  </si>
  <si>
    <t xml:space="preserve">경기도 남양주시 진건읍 사릉로 163-114 (주)지안뷰티 (우 : 12140) </t>
  </si>
  <si>
    <t>최지우 보미라이</t>
  </si>
  <si>
    <t>42709</t>
  </si>
  <si>
    <t>성서공단북로 161 진영R&amp;S</t>
  </si>
  <si>
    <t xml:space="preserve">대구광역시 달서구 성서공단북로 161 진영R&amp;S (우 : 42709) </t>
  </si>
  <si>
    <t>와이디컴퍼니</t>
  </si>
  <si>
    <t>06228</t>
  </si>
  <si>
    <t>논현로64길 19 지하1층</t>
  </si>
  <si>
    <t xml:space="preserve">서울특별시 강남구 논현로64길 19 지하1층 (우 : 06228) </t>
  </si>
  <si>
    <t>1588-6753</t>
  </si>
  <si>
    <t>핫버튼코리아</t>
  </si>
  <si>
    <t>41571</t>
  </si>
  <si>
    <t>대현로16길 19 2층 핫버튼코리아</t>
  </si>
  <si>
    <t xml:space="preserve">대구광역시 북구 대현로16길 19 2층 핫버튼코리아 (우 : 41571) </t>
  </si>
  <si>
    <t>010-7773-6258</t>
  </si>
  <si>
    <t>010-7610-6258</t>
  </si>
  <si>
    <t>그래씨그린</t>
  </si>
  <si>
    <t>01713</t>
  </si>
  <si>
    <t>중계로 230 (중계5단지주공아파트) 508-1504</t>
  </si>
  <si>
    <t xml:space="preserve">서울특별시 노원구 중계로 230 (중계5단지주공아파트) 508-1504 (우 : 01713) </t>
  </si>
  <si>
    <t>02-6061-1214</t>
  </si>
  <si>
    <t>010-5185-1216</t>
  </si>
  <si>
    <t>GCK</t>
  </si>
  <si>
    <t>44611</t>
  </si>
  <si>
    <t>대학로 164 (웰츠타워) KCC웰츠타워 217호</t>
  </si>
  <si>
    <t xml:space="preserve">울산광역시 남구 대학로 164 (웰츠타워) KCC웰츠타워 217호 (우 : 44611) </t>
  </si>
  <si>
    <t>052-224-9003</t>
  </si>
  <si>
    <t>트로닉</t>
  </si>
  <si>
    <t>10072</t>
  </si>
  <si>
    <t>운양로55번길 119-12 트로닉 물류</t>
  </si>
  <si>
    <t xml:space="preserve">경기도 김포시 운양로55번길 119-12 트로닉 물류 (우 : 10072) </t>
  </si>
  <si>
    <t>02-2069-1345</t>
  </si>
  <si>
    <t>02-7063-3322</t>
  </si>
  <si>
    <t>구성</t>
    <phoneticPr fontId="2" type="noConversion"/>
  </si>
  <si>
    <t>WDS</t>
    <phoneticPr fontId="2" type="noConversion"/>
  </si>
  <si>
    <t xml:space="preserve">인천광역시 남동구 호구포로 194 (마크원 지식산업센터) 더마크원812,813호 (우 : 21655) </t>
  </si>
  <si>
    <t>010-9259-6410</t>
  </si>
  <si>
    <t>네모캐리어</t>
  </si>
  <si>
    <t>10253</t>
  </si>
  <si>
    <t>장진천길 88-19 네모캐리어</t>
  </si>
  <si>
    <t xml:space="preserve">경기도 고양시 일산동구 장진천길 88-19 네모캐리어 (우 : 10253) </t>
  </si>
  <si>
    <t>010-3705-0627</t>
  </si>
  <si>
    <t>에반스</t>
  </si>
  <si>
    <t>10564</t>
  </si>
  <si>
    <t>권율대로 656 (클래시아 더 퍼스트) 클래시아더퍼스트 1326호</t>
  </si>
  <si>
    <t xml:space="preserve">경기도 고양시 덕양구 권율대로 656 (클래시아 더 퍼스트) 클래시아더퍼스트 1326호 (우 : 10564) </t>
  </si>
  <si>
    <t>031-8060-9690</t>
  </si>
  <si>
    <t>레시앙뜨</t>
  </si>
  <si>
    <t>12241</t>
  </si>
  <si>
    <t>양진로 221-58 레시앙뜨</t>
  </si>
  <si>
    <t xml:space="preserve">경기도 남양주시 진건읍 양진로 221-58 레시앙뜨 (우 : 12241) </t>
  </si>
  <si>
    <t>1899-8095</t>
  </si>
  <si>
    <t>베틀핏 협력사 N</t>
  </si>
  <si>
    <t>11435</t>
  </si>
  <si>
    <t>평화로1667번길 60</t>
  </si>
  <si>
    <t xml:space="preserve">경기도 양주시 평화로1667번길 60 (우 : 11435) </t>
  </si>
  <si>
    <t>케어포유족욕기</t>
  </si>
  <si>
    <t>21398</t>
  </si>
  <si>
    <t>수변로85번길 25 케어포유</t>
  </si>
  <si>
    <t xml:space="preserve">인천광역시 부평구 수변로85번길 25 케어포유 (우 : 21398) </t>
  </si>
  <si>
    <t>010-3813-9138</t>
  </si>
  <si>
    <t>순수바람</t>
  </si>
  <si>
    <t>28116</t>
  </si>
  <si>
    <t>연구단지로 40 (충북테크노파크) 선도기업관 301호</t>
  </si>
  <si>
    <t xml:space="preserve">충청북도 청주시 청원구 오창읍 연구단지로 40 (충북테크노파크) 선도기업관 301호 (우 : 28116) </t>
  </si>
  <si>
    <t>043-218-8049</t>
  </si>
  <si>
    <t>서달로 123 (롯데캐슬 에듀포레) 107-502(주)샤인오션</t>
  </si>
  <si>
    <t xml:space="preserve">서울특별시 동작구 서달로 123 (롯데캐슬 에듀포레) 107-502(주)샤인오션 (우 : 06973) </t>
  </si>
  <si>
    <t>010-3498-5698</t>
  </si>
  <si>
    <t>굿쎈</t>
  </si>
  <si>
    <t>삼양로138길 3 B1 굿쎈</t>
  </si>
  <si>
    <t xml:space="preserve">서울특별시 강북구 삼양로138길 3 B1 굿쎈 (우 : 01044) </t>
  </si>
  <si>
    <t>010-2077-4178</t>
  </si>
  <si>
    <t>스텐팩토리</t>
  </si>
  <si>
    <t>21315</t>
  </si>
  <si>
    <t>부평북로236번길 12 (대우일렉트로닉스) 3층 스타아미이엔텍</t>
  </si>
  <si>
    <t xml:space="preserve">인천광역시 부평구 부평북로236번길 12 (대우일렉트로닉스) 3층 스타아미이엔텍 (우 : 21315) </t>
  </si>
  <si>
    <t>032-584-9977</t>
  </si>
  <si>
    <t>클린라벨 밀폐용기</t>
  </si>
  <si>
    <t>04315</t>
  </si>
  <si>
    <t>원효로90길 11 (용산더프라임) 클린라벨</t>
  </si>
  <si>
    <t xml:space="preserve">서울특별시 용산구 원효로90길 11 (용산더프라임) 클린라벨 (우 : 04315) </t>
  </si>
  <si>
    <t>010-8997-0147</t>
  </si>
  <si>
    <t>필굿컴퍼니</t>
  </si>
  <si>
    <t>22734</t>
  </si>
  <si>
    <t>청라에메랄드로 156 (청라웰카운티1차) 202동 204호</t>
  </si>
  <si>
    <t xml:space="preserve">인천광역시 서구 청라에메랄드로 156 (청라웰카운티1차) 202동 204호 (우 : 22734) </t>
  </si>
  <si>
    <t>010-7205-0023</t>
  </si>
  <si>
    <t>눈떠아토퍼매트리스</t>
  </si>
  <si>
    <t>05388</t>
  </si>
  <si>
    <t>풍성로41길 23 204호</t>
  </si>
  <si>
    <t xml:space="preserve">서울특별시 강동구 풍성로41길 23 204호 (우 : 05388) </t>
  </si>
  <si>
    <t>010-6571-7572</t>
  </si>
  <si>
    <t>몬탑</t>
  </si>
  <si>
    <t>070-8855-0522</t>
  </si>
  <si>
    <t>엠엔제이실버스타뚜아</t>
  </si>
  <si>
    <t>아이디밋이가이매매트리스</t>
  </si>
  <si>
    <t>17854</t>
  </si>
  <si>
    <t>비전5로 20-25 402호</t>
  </si>
  <si>
    <t xml:space="preserve">경기도 평택시 비전5로 20-25 402호 (우 : 17854) </t>
  </si>
  <si>
    <t>010-6271-5805</t>
  </si>
  <si>
    <t>팍스리테일 양고기</t>
  </si>
  <si>
    <t>41477</t>
  </si>
  <si>
    <t>환성정길 12-28 (주)팍스리테일</t>
  </si>
  <si>
    <t xml:space="preserve">대구광역시 북구 환성정길 12-28 (주)팍스리테일 (우 : 41477) </t>
  </si>
  <si>
    <t>031-3171-5712</t>
  </si>
  <si>
    <t>르헤브 프로페셔널</t>
  </si>
  <si>
    <t>03453</t>
  </si>
  <si>
    <t>은평로 82 (해태드림타운) 제지하1층 제 141호</t>
  </si>
  <si>
    <t xml:space="preserve">서울특별시 은평구 은평로 82 (해태드림타운) 제지하1층 제 141호 (우 : 03453) </t>
  </si>
  <si>
    <t>010-4547-2890</t>
  </si>
  <si>
    <t>경영수산</t>
  </si>
  <si>
    <t>58639</t>
  </si>
  <si>
    <t>전라남도 목포시</t>
  </si>
  <si>
    <t>원산로 79-2 경영수산</t>
  </si>
  <si>
    <t xml:space="preserve">전라남도 목포시 원산로 79-2 경영수산 (우 : 58639) </t>
  </si>
  <si>
    <t>010-7737-9458</t>
  </si>
  <si>
    <t>파인코</t>
  </si>
  <si>
    <t>24206</t>
  </si>
  <si>
    <t>강원도 춘천시 신북읍</t>
  </si>
  <si>
    <t>신북로 61-20 강원테크노파크 201호 파인코</t>
  </si>
  <si>
    <t xml:space="preserve">강원도 춘천시 신북읍 신북로 61-20 강원테크노파크 201호 파인코 (우 : 24206) </t>
  </si>
  <si>
    <t>033-241-2307</t>
  </si>
  <si>
    <t>주식회사투와이엠</t>
  </si>
  <si>
    <t>김포한강9로75번길 190 (이너매스한강) 403호</t>
  </si>
  <si>
    <t xml:space="preserve">경기도 김포시 김포한강9로75번길 190 (이너매스한강) 403호 (우 : 10071) </t>
  </si>
  <si>
    <t>070-4223-9384</t>
  </si>
  <si>
    <t>슬로이트타올</t>
  </si>
  <si>
    <t>05622</t>
  </si>
  <si>
    <t>백제고분로41길 36 슬로이트</t>
  </si>
  <si>
    <t xml:space="preserve">서울특별시 송파구 백제고분로41길 36 슬로이트 (우 : 05622) </t>
  </si>
  <si>
    <t>02-6369-2195</t>
  </si>
  <si>
    <t>에프에스디</t>
  </si>
  <si>
    <t>18511</t>
  </si>
  <si>
    <t>금곡로 211-91 에프에스디</t>
  </si>
  <si>
    <t xml:space="preserve">경기도 화성시 금곡로 211-91 에프에스디 (우 : 18511) </t>
  </si>
  <si>
    <t>010-7386-2016</t>
  </si>
  <si>
    <t>모두의이불</t>
  </si>
  <si>
    <t>08214</t>
  </si>
  <si>
    <t>경인로53가길 10 (구로 대명벨리온 지식산업센터) 대명벨리온 906호</t>
  </si>
  <si>
    <t xml:space="preserve">서울특별시 구로구 경인로53가길 10 (구로 대명벨리온 지식산업센터) 대명벨리온 906호 (우 : 08214) </t>
  </si>
  <si>
    <t>010-7573-5482</t>
  </si>
  <si>
    <t>비쥬</t>
  </si>
  <si>
    <t>11330</t>
  </si>
  <si>
    <t>경기도 동두천시</t>
  </si>
  <si>
    <t>정장로 40 라비엔느</t>
  </si>
  <si>
    <t xml:space="preserve">경기도 동두천시 정장로 40 라비엔느 (우 : 11330) </t>
  </si>
  <si>
    <t>010-8674-4698</t>
  </si>
  <si>
    <t>산남로 62-27 비오씨이래</t>
  </si>
  <si>
    <t xml:space="preserve">경기도 파주시 산남로 62-27 비오씨이래 (우 : 10882) </t>
  </si>
  <si>
    <t>에스와이커뮤니티 아이린</t>
  </si>
  <si>
    <t>14534</t>
  </si>
  <si>
    <t>길주로 319 (골든타워) 에스와이커뮤니티</t>
  </si>
  <si>
    <t xml:space="preserve">경기도 부천시 길주로 319 (골든타워) 에스와이커뮤니티 (우 : 14534) </t>
  </si>
  <si>
    <t>베틀핏협력사HB</t>
  </si>
  <si>
    <t>01842</t>
  </si>
  <si>
    <t>동일로190길 43-6 지하1층 에이1002호</t>
  </si>
  <si>
    <t xml:space="preserve">서울특별시 노원구 동일로190길 43-6 지하1층 에이1002호 (우 : 01842) </t>
  </si>
  <si>
    <t>010-9273-4237</t>
  </si>
  <si>
    <t>숯언니</t>
  </si>
  <si>
    <t>스테디셀러</t>
  </si>
  <si>
    <t>병점중앙로156번길 15-11 승원빌딩 203호 스테디셀러</t>
  </si>
  <si>
    <t xml:space="preserve">경기도 화성시 병점중앙로156번길 15-11 승원빌딩 203호 스테디셀러 (우 : 18404) </t>
  </si>
  <si>
    <t>0507-1351-5492</t>
  </si>
  <si>
    <t>06683</t>
  </si>
  <si>
    <t>방배로13길 18 (방배아크로타워) B 10호</t>
  </si>
  <si>
    <t xml:space="preserve">서울특별시 서초구 방배로13길 18 (방배아크로타워) B 10호 (우 : 06683) </t>
  </si>
  <si>
    <t>1688-4469</t>
  </si>
  <si>
    <t>우영콜렉션 히아신스매트</t>
  </si>
  <si>
    <t>10941</t>
  </si>
  <si>
    <t>명봉산로114번길 30 (한양전공(주)) A동 우영콜렉션</t>
  </si>
  <si>
    <t xml:space="preserve">경기도 파주시 조리읍 명봉산로114번길 30 (한양전공(주)) A동 우영콜렉션 (우 : 10941) </t>
  </si>
  <si>
    <t>031-957-4955</t>
  </si>
  <si>
    <t>010-4715-6186</t>
  </si>
  <si>
    <t>화영에끌레어베르가못오일</t>
  </si>
  <si>
    <t>남동동로77번길 41 2동 1층 (주)화영</t>
  </si>
  <si>
    <t xml:space="preserve">인천광역시 남동구 남동동로77번길 41 2동 1층 (주)화영 (우 : 21694) </t>
  </si>
  <si>
    <t>소셜코리아로미건워터</t>
  </si>
  <si>
    <t>26396</t>
  </si>
  <si>
    <t>강원도 원주시</t>
  </si>
  <si>
    <t>행가리1길 77 소셜코리아</t>
  </si>
  <si>
    <t xml:space="preserve">강원도 원주시 행가리1길 77 소셜코리아 (우 : 26396) </t>
  </si>
  <si>
    <t>010-4807-4646</t>
  </si>
  <si>
    <t>깨알생각납작이욕실화</t>
  </si>
  <si>
    <t>12130</t>
  </si>
  <si>
    <t>진건오남로 146-7 다산종합물류 3pl 롯데택배</t>
  </si>
  <si>
    <t xml:space="preserve">경기도 남양주시 진건읍 진건오남로 146-7 다산종합물류 3pl 롯데택배 (우 : 12130) </t>
  </si>
  <si>
    <t>010-7522-5711</t>
  </si>
  <si>
    <t>씨에스포라이프</t>
  </si>
  <si>
    <t>05837</t>
  </si>
  <si>
    <t>송파대로 111 (파크하비오) 205동 602-603호</t>
  </si>
  <si>
    <t xml:space="preserve">서울특별시 송파구 송파대로 111 (파크하비오) 205동 602-603호 (우 : 05837) </t>
  </si>
  <si>
    <t>02-6952-7333</t>
  </si>
  <si>
    <t>02589</t>
  </si>
  <si>
    <t>서울특별시 동대문구</t>
  </si>
  <si>
    <t>청계천로 525 (용두유수부지복개주차장) 롯데택배 마장대리점</t>
  </si>
  <si>
    <t xml:space="preserve">서울특별시 동대문구 청계천로 525 (용두유수부지복개주차장) 롯데택배 마장대리점 (우 : 02589) </t>
  </si>
  <si>
    <t>010-4710-3038</t>
  </si>
  <si>
    <t>상복명가원</t>
  </si>
  <si>
    <t>부산성길 29 (주)상복명가원</t>
  </si>
  <si>
    <t xml:space="preserve">경상북도 경주시 건천읍 부산성길 29 (주)상복명가원 (우 : 38180) </t>
  </si>
  <si>
    <t>빛길 코바 쌀국수</t>
  </si>
  <si>
    <t>신기길 2 2층 빛길</t>
  </si>
  <si>
    <t xml:space="preserve">인천광역시 미추홀구 신기길 2 2층 빛길 (우 : 22217) </t>
  </si>
  <si>
    <t>032-879-0704</t>
  </si>
  <si>
    <t>리즘</t>
  </si>
  <si>
    <t>아이시스 인천</t>
  </si>
  <si>
    <t>010-4173-7364</t>
  </si>
  <si>
    <t>위즈페이스</t>
  </si>
  <si>
    <t>캐슬주방</t>
  </si>
  <si>
    <t>대왕판교로 336 1층</t>
  </si>
  <si>
    <t xml:space="preserve">경기도 성남시 분당구 대왕판교로 336 1층 (우 : 13550) </t>
  </si>
  <si>
    <t>070-8730-5396</t>
  </si>
  <si>
    <t>옥수 휴먼케어</t>
  </si>
  <si>
    <t>논현로 70 (동성빌딩) 3층 옥수 건강식품</t>
  </si>
  <si>
    <t xml:space="preserve">서울특별시 강남구 논현로 70 (동성빌딩) 3층 옥수 건강식품 (우 : 06307) </t>
  </si>
  <si>
    <t>여자생각 메이썸런드리겔</t>
  </si>
  <si>
    <t>010-3837-2371</t>
  </si>
  <si>
    <t>GCK 코리아</t>
  </si>
  <si>
    <t>대학로 164 (웰츠타워) KCC 웰츠타워 217호 GCK</t>
  </si>
  <si>
    <t xml:space="preserve">울산광역시 남구 대학로 164 (웰츠타워) KCC 웰츠타워 217호 GCK (우 : 44611) </t>
  </si>
  <si>
    <t>032-567-6166</t>
  </si>
  <si>
    <t>나임바이러스그린</t>
  </si>
  <si>
    <t>봉수대로 25 (한덕상사) 1층</t>
  </si>
  <si>
    <t xml:space="preserve">인천광역시 미추홀구 봉수대로 25 (한덕상사) 1층 (우 : 22109) </t>
  </si>
  <si>
    <t>강산농원</t>
  </si>
  <si>
    <t>대산길 7 강산농원</t>
  </si>
  <si>
    <t xml:space="preserve">전라남도 보성군 웅치면 대산길 7 강산농원 (우 : 59450) </t>
  </si>
  <si>
    <t>02-3661-8388</t>
  </si>
  <si>
    <t>펀타스틱 테이포프</t>
  </si>
  <si>
    <t>12769</t>
  </si>
  <si>
    <t>직동로 8 펀타스틱 물류창고</t>
  </si>
  <si>
    <t xml:space="preserve">경기도 광주시 직동로 8 펀타스틱 물류창고 (우 : 12769) </t>
  </si>
  <si>
    <t>070-7525-7878</t>
  </si>
  <si>
    <t>핫픽마켓베리모어샤워필터</t>
  </si>
  <si>
    <t>일성인터내셔널클린샤워</t>
  </si>
  <si>
    <t>에이브이인사이드세탁볼</t>
  </si>
  <si>
    <t>투에이블</t>
  </si>
  <si>
    <t>제니아인터네셔널풍년냄비</t>
  </si>
  <si>
    <t>황새울로 234 (분당트라팰리스) 667호 제니아인터네셔널</t>
  </si>
  <si>
    <t xml:space="preserve">경기도 성남시 분당구 황새울로 234 (분당트라팰리스) 667호 제니아인터네셔널 (우 : 13595) </t>
  </si>
  <si>
    <t>031-726-4026</t>
  </si>
  <si>
    <t xml:space="preserve">경기도 구리시 경춘로 239 (리맥스빌딩) CJ대한통운 청연대리점 (우 : 11922) </t>
  </si>
  <si>
    <t>삼작로 22 (부천테크노파크) 102동 401~405호 미래SMT</t>
  </si>
  <si>
    <t xml:space="preserve">경기도 부천시 삼작로 22 (부천테크노파크) 102동 401~405호 미래SMT (우 : 14501) </t>
  </si>
  <si>
    <t>46073</t>
  </si>
  <si>
    <t>부산광역시 기장군 기장읍</t>
  </si>
  <si>
    <t>대청로36번길 58 (주)에덴21</t>
  </si>
  <si>
    <t xml:space="preserve">부산광역시 기장군 기장읍 대청로36번길 58 (주)에덴21 (우 : 46073) </t>
  </si>
  <si>
    <t>자양로 35 1층 광진리퍼브샵</t>
  </si>
  <si>
    <t xml:space="preserve">서울특별시 광진구 자양로 35 1층 광진리퍼브샵 (우 : 05103) </t>
  </si>
  <si>
    <t>한주글로벌</t>
  </si>
  <si>
    <t>경인로 69 한주물류센터 한주글로벌(주)</t>
  </si>
  <si>
    <t xml:space="preserve">서울특별시 구로구 경인로 69 한주물류센터 한주글로벌(주) (우 : 08264) </t>
  </si>
  <si>
    <t>070-4403-3395</t>
  </si>
  <si>
    <t>태양FC 먹태</t>
  </si>
  <si>
    <t>충장로 118-27 (Parc One(파크원)) 구암빌딩 2층 태양 F&amp;C</t>
  </si>
  <si>
    <t xml:space="preserve">경기도 고양시 덕양구 충장로 118-27 (Parc One(파크원)) 구암빌딩 2층 태양 F&amp;C (우 : 10518) </t>
  </si>
  <si>
    <t>가산디지털1로 168 (우림라이온스밸리) C동 402호</t>
  </si>
  <si>
    <t xml:space="preserve">서울특별시 금천구 가산디지털1로 168 (우림라이온스밸리) C동 402호 (우 : 08507) </t>
  </si>
  <si>
    <t>010-5883-1981</t>
  </si>
  <si>
    <t>04516</t>
  </si>
  <si>
    <t>서소문로9길 28 (덕수궁롯데캐슬) 상가 B126호</t>
  </si>
  <si>
    <t xml:space="preserve">서울특별시 중구 서소문로9길 28 (덕수궁롯데캐슬) 상가 B126호 (우 : 04516) </t>
  </si>
  <si>
    <t>이지원컴퍼니</t>
  </si>
  <si>
    <t>정인 닥터알가글</t>
  </si>
  <si>
    <t>14478</t>
  </si>
  <si>
    <t>작동로13번길 10</t>
  </si>
  <si>
    <t xml:space="preserve">경기도 부천시 작동로13번길 10 (우 : 14478) </t>
  </si>
  <si>
    <t>디에스원라니푸드</t>
  </si>
  <si>
    <t>17095</t>
  </si>
  <si>
    <t>경기도 용인시 기흥구</t>
  </si>
  <si>
    <t>중부대로 198 1층 디에스원</t>
  </si>
  <si>
    <t xml:space="preserve">경기도 용인시 기흥구 중부대로 198 1층 디에스원 (우 : 17095) </t>
  </si>
  <si>
    <t>031-282-5657</t>
  </si>
  <si>
    <t>010-7676-8261</t>
  </si>
  <si>
    <t>22837</t>
  </si>
  <si>
    <t>가정로47번길 4 (아파트형공장) C동 402호 이엘키야쿠</t>
  </si>
  <si>
    <t xml:space="preserve">인천광역시 서구 가정로47번길 4 (아파트형공장) C동 402호 이엘키야쿠 (우 : 22837) </t>
  </si>
  <si>
    <t>1577-4959</t>
  </si>
  <si>
    <t>포기노 탈모샴푸</t>
  </si>
  <si>
    <t>에이브이인사이드웰큐베개</t>
  </si>
  <si>
    <t xml:space="preserve">서울특별시 강동구 성내로 20 (정일빌딩) 정일빌딩 401호 (우 : 05398) </t>
  </si>
  <si>
    <t>아이시스 파주 산남로</t>
  </si>
  <si>
    <t>010-7923-8055</t>
  </si>
  <si>
    <t>가산디지털2로 156 (대한통운 가산동 택배터미널) B1 (주)트레이드마스터</t>
  </si>
  <si>
    <t xml:space="preserve">서울특별시 금천구 가산디지털2로 156 (대한통운 가산동 택배터미널) B1 (주)트레이드마스터 (우 : 08503) </t>
  </si>
  <si>
    <t>02-3429-3037</t>
  </si>
  <si>
    <t>관악로24길 63 401호 (주)엠트레이딩</t>
  </si>
  <si>
    <t xml:space="preserve">서울특별시 관악구 관악로24길 63 401호 (주)엠트레이딩 (우 : 08735) </t>
  </si>
  <si>
    <t>한일의료기</t>
  </si>
  <si>
    <t>62237</t>
  </si>
  <si>
    <t>비아로 145 한일의료기</t>
  </si>
  <si>
    <t xml:space="preserve">광주광역시 광산구 비아로 145 한일의료기 (우 : 62237) </t>
  </si>
  <si>
    <t>062-954-9998</t>
  </si>
  <si>
    <t>제이와이플래닛 아쿠보</t>
  </si>
  <si>
    <t>광남안로 301 민로지스 오르힐</t>
  </si>
  <si>
    <t xml:space="preserve">경기도 광주시 광남안로 301 민로지스 오르힐 (우 : 12770) </t>
  </si>
  <si>
    <t>070-4400-5211</t>
  </si>
  <si>
    <t>BS코스메틱 코리아나</t>
  </si>
  <si>
    <t>연서로37길 32 (성우타운빌) 1층 BS코스메틱</t>
  </si>
  <si>
    <t xml:space="preserve">서울특별시 은평구 연서로37길 32 (성우타운빌) 1층 BS코스메틱 (우 : 03343) </t>
  </si>
  <si>
    <t>아이시스 A</t>
  </si>
  <si>
    <t>산남로 62-27 아이시스</t>
  </si>
  <si>
    <t xml:space="preserve">경기도 파주시 산남로 62-27 아이시스 (우 : 10882) </t>
  </si>
  <si>
    <t>용각2길 19 19 1층 에스앤에치(몽실헤어팩)</t>
  </si>
  <si>
    <t xml:space="preserve">경상북도 성주군 월항면 용각2길 19 19 1층 에스앤에치(몽실헤어팩) (우 : 40037) </t>
  </si>
  <si>
    <t>인클로즈코스메틱 반품</t>
  </si>
  <si>
    <t>인클로즈 코스메틱</t>
  </si>
  <si>
    <t>인천타워대로 323 (송도 센트로드) 오피스 B동 2105, 2106</t>
  </si>
  <si>
    <t xml:space="preserve">인천광역시 연수구 인천타워대로 323 (송도 센트로드) 오피스 B동 2105, 2106 (우 : 22007) </t>
  </si>
  <si>
    <t>나샵</t>
  </si>
  <si>
    <t>010-3644-9181</t>
  </si>
  <si>
    <t>빛가람생명농업공동체협동</t>
  </si>
  <si>
    <t>58212</t>
  </si>
  <si>
    <t>전라남도 나주시 산포면</t>
  </si>
  <si>
    <t>등수길 151 빛가람생명농업공동체협동조합</t>
  </si>
  <si>
    <t xml:space="preserve">전라남도 나주시 산포면 등수길 151 빛가람생명농업공동체협동조합 (우 : 58212) </t>
  </si>
  <si>
    <t>010-8981-5520</t>
  </si>
  <si>
    <t>디지털로9길 65 (백상스타타워1차) 1007호 주식회사 비오씨이래</t>
  </si>
  <si>
    <t xml:space="preserve">서울특별시 금천구 디지털로9길 65 (백상스타타워1차) 1007호 주식회사 비오씨이래 (우 : 08511) </t>
  </si>
  <si>
    <t>선테크</t>
  </si>
  <si>
    <t>방산길 226 미곳간 선테크(주)</t>
  </si>
  <si>
    <t xml:space="preserve">경기도 포천시 가산면 방산길 226 미곳간 선테크(주) (우 : 11168) </t>
  </si>
  <si>
    <t>베틀핏협력사H</t>
  </si>
  <si>
    <t>05113</t>
  </si>
  <si>
    <t>자양로4길 49 롯데택배 자양대리점</t>
  </si>
  <si>
    <t xml:space="preserve">서울특별시 광진구 자양로4길 49 롯데택배 자양대리점 (우 : 05113) </t>
  </si>
  <si>
    <t>커먼즈주식회사 미향</t>
  </si>
  <si>
    <t>04594</t>
  </si>
  <si>
    <t>동호로10길 8-10 (미향빌딩) 2층</t>
  </si>
  <si>
    <t xml:space="preserve">서울특별시 중구 동호로10길 8-10 (미향빌딩) 2층 (우 : 04594) </t>
  </si>
  <si>
    <t>010-2389-9638</t>
  </si>
  <si>
    <t>주식회사 세레코</t>
  </si>
  <si>
    <t>34342</t>
  </si>
  <si>
    <t>대전광역시 대덕구</t>
  </si>
  <si>
    <t xml:space="preserve">대전광역시 대덕구 방두말4길 23 (주)세레코 (우 : 34342) </t>
  </si>
  <si>
    <t>010-3955-2014</t>
  </si>
  <si>
    <t>주식회사 맥클린코스메틱</t>
  </si>
  <si>
    <t>30121</t>
  </si>
  <si>
    <t>갈매로 351 (에비뉴힐) 5152호</t>
  </si>
  <si>
    <t xml:space="preserve">세종특별자치시 갈매로 351 (에비뉴힐) 5152호 (우 : 30121) </t>
  </si>
  <si>
    <t>044-868-9188</t>
  </si>
  <si>
    <t>엘루 팔찌</t>
  </si>
  <si>
    <t>03706</t>
  </si>
  <si>
    <t>서울특별시 서대문구</t>
  </si>
  <si>
    <t>성산로 269-5 (원일빌라) 401호 엘루</t>
  </si>
  <si>
    <t xml:space="preserve">서울특별시 서대문구 성산로 269-5 (원일빌라) 401호 엘루 (우 : 03706) </t>
  </si>
  <si>
    <t>070-7712-3334</t>
  </si>
  <si>
    <t>베틀핏 협력사</t>
  </si>
  <si>
    <t>보문로 173 (슈프림스) 6층</t>
  </si>
  <si>
    <t xml:space="preserve">서울특별시 성북구 보문로 173 (슈프림스) 6층 (우 : 02862) </t>
  </si>
  <si>
    <t>02-922-8798</t>
  </si>
  <si>
    <t>BTF</t>
    <phoneticPr fontId="2" type="noConversion"/>
  </si>
  <si>
    <t>빅케이스테크놀러지</t>
    <phoneticPr fontId="2" type="noConversion"/>
  </si>
  <si>
    <t>호구포로 194 (마크원 지식산업센터) 더마크원812,813호</t>
    <phoneticPr fontId="2" type="noConversion"/>
  </si>
  <si>
    <t>027063322</t>
  </si>
  <si>
    <t>0515140777</t>
  </si>
  <si>
    <t>01068142229</t>
  </si>
  <si>
    <t>01087037043</t>
  </si>
  <si>
    <t>15880384</t>
  </si>
  <si>
    <t>16602028</t>
  </si>
  <si>
    <t>01027375422</t>
  </si>
  <si>
    <t>025989151</t>
  </si>
  <si>
    <t>07080640219</t>
  </si>
  <si>
    <t>15449631</t>
  </si>
  <si>
    <t>027070331</t>
  </si>
  <si>
    <t>0315666069</t>
  </si>
  <si>
    <t>03150685535</t>
  </si>
  <si>
    <t>03180685535</t>
  </si>
  <si>
    <t>01095574010</t>
  </si>
  <si>
    <t>07088445362</t>
  </si>
  <si>
    <t>027119654</t>
  </si>
  <si>
    <t>07088673673</t>
  </si>
  <si>
    <t>0317810824</t>
  </si>
  <si>
    <t>027774741</t>
  </si>
  <si>
    <t>18114493</t>
  </si>
  <si>
    <t>07047083832</t>
  </si>
  <si>
    <t>0319940061</t>
  </si>
  <si>
    <t>0260851100</t>
  </si>
  <si>
    <t>07088778040</t>
  </si>
  <si>
    <t>07041083330</t>
  </si>
  <si>
    <t>0226881469</t>
  </si>
  <si>
    <t>0319981002</t>
  </si>
  <si>
    <t>0322991555</t>
  </si>
  <si>
    <t>01096966552</t>
  </si>
  <si>
    <t>07075610485</t>
  </si>
  <si>
    <t>01090459266</t>
  </si>
  <si>
    <t>07080984172</t>
  </si>
  <si>
    <t>01034895698</t>
  </si>
  <si>
    <t>03180849604</t>
  </si>
  <si>
    <t>01038938223</t>
  </si>
  <si>
    <t>07047358808</t>
  </si>
  <si>
    <t>18998311</t>
  </si>
  <si>
    <t>0325639007</t>
  </si>
  <si>
    <t>025651307</t>
  </si>
  <si>
    <t>0325734783</t>
  </si>
  <si>
    <t>01036210901</t>
  </si>
  <si>
    <t>0319718841</t>
  </si>
  <si>
    <t>01021402050</t>
  </si>
  <si>
    <t>07078644516</t>
  </si>
  <si>
    <t>0553361140</t>
  </si>
  <si>
    <t>07082296849</t>
  </si>
  <si>
    <t>028841490</t>
  </si>
  <si>
    <t>0319846117</t>
  </si>
  <si>
    <t>0319920136</t>
  </si>
  <si>
    <t>01050977896</t>
  </si>
  <si>
    <t>07076048274</t>
  </si>
  <si>
    <t>0326770745</t>
  </si>
  <si>
    <t>01098050165</t>
  </si>
  <si>
    <t>027036958</t>
  </si>
  <si>
    <t>07086138989</t>
  </si>
  <si>
    <t>15665640</t>
  </si>
  <si>
    <t>07043672975</t>
  </si>
  <si>
    <t>0266718200</t>
  </si>
  <si>
    <t>0315443260</t>
  </si>
  <si>
    <t>0318163308</t>
  </si>
  <si>
    <t>0221351960</t>
  </si>
  <si>
    <t>027150701</t>
  </si>
  <si>
    <t>027150702</t>
  </si>
  <si>
    <t>0313418857</t>
  </si>
  <si>
    <t>0314099366</t>
  </si>
  <si>
    <t>07075245729</t>
  </si>
  <si>
    <t>07078744507</t>
  </si>
  <si>
    <t>07087867835</t>
  </si>
  <si>
    <t>01092628301</t>
  </si>
  <si>
    <t>0808502131</t>
  </si>
  <si>
    <t>16001822</t>
  </si>
  <si>
    <t>0327668700</t>
  </si>
  <si>
    <t>01094191778</t>
  </si>
  <si>
    <t>0319751145</t>
  </si>
  <si>
    <t>0263371600</t>
  </si>
  <si>
    <t>15224539</t>
  </si>
  <si>
    <t>16442268</t>
  </si>
  <si>
    <t>0322724000</t>
  </si>
  <si>
    <t>0231429492</t>
  </si>
  <si>
    <t>01062281186</t>
  </si>
  <si>
    <t>01050658269</t>
  </si>
  <si>
    <t>0317140454</t>
  </si>
  <si>
    <t>027011617</t>
  </si>
  <si>
    <t>01033891606</t>
  </si>
  <si>
    <t>025018461</t>
  </si>
  <si>
    <t>01029099731</t>
  </si>
  <si>
    <t>01024263313</t>
  </si>
  <si>
    <t>01063188055</t>
  </si>
  <si>
    <t>0432121207</t>
  </si>
  <si>
    <t>0326752378</t>
  </si>
  <si>
    <t>01088269989</t>
  </si>
  <si>
    <t>050713239989</t>
  </si>
  <si>
    <t>028306669</t>
  </si>
  <si>
    <t>01089896352</t>
  </si>
  <si>
    <t>01034107110</t>
  </si>
  <si>
    <t>01098093016</t>
  </si>
  <si>
    <t>0544733055</t>
  </si>
  <si>
    <t>01090838590</t>
  </si>
  <si>
    <t>0260710520</t>
  </si>
  <si>
    <t>0260811579</t>
  </si>
  <si>
    <t>01059177962</t>
  </si>
  <si>
    <t>050713097571</t>
  </si>
  <si>
    <t>0226593002</t>
  </si>
  <si>
    <t>0314073996</t>
  </si>
  <si>
    <t>0313534151</t>
  </si>
  <si>
    <t>01036441763</t>
  </si>
  <si>
    <t>0327770233</t>
  </si>
  <si>
    <t>0334359088</t>
  </si>
  <si>
    <t>01027680048</t>
  </si>
  <si>
    <t>0222727678</t>
  </si>
  <si>
    <t>01071757132</t>
  </si>
  <si>
    <t>01053677669</t>
  </si>
  <si>
    <t>01050995297</t>
  </si>
  <si>
    <t>0314099844</t>
  </si>
  <si>
    <t>0264138717</t>
  </si>
  <si>
    <t>0513639556</t>
  </si>
  <si>
    <t>01046240165</t>
  </si>
  <si>
    <t>01092776455</t>
  </si>
  <si>
    <t>01022107017</t>
  </si>
  <si>
    <t>01058155352</t>
  </si>
  <si>
    <t>01053455645</t>
  </si>
  <si>
    <t>01049357710</t>
  </si>
  <si>
    <t>0263967971</t>
  </si>
  <si>
    <t>07077405077</t>
  </si>
  <si>
    <t>01088981164</t>
  </si>
  <si>
    <t>0319287255</t>
  </si>
  <si>
    <t>028989876</t>
  </si>
  <si>
    <t>07080647751</t>
  </si>
  <si>
    <t>16880642</t>
  </si>
  <si>
    <t>050713880388</t>
  </si>
  <si>
    <t>0427102226</t>
  </si>
  <si>
    <t>028588829</t>
  </si>
  <si>
    <t>01046675215</t>
  </si>
  <si>
    <t>07044542766</t>
  </si>
  <si>
    <t>07041737364</t>
  </si>
  <si>
    <t>01020595075</t>
  </si>
  <si>
    <t>07052202369</t>
  </si>
  <si>
    <t>07040649410</t>
  </si>
  <si>
    <t>01031756024</t>
  </si>
  <si>
    <t>0553459855</t>
  </si>
  <si>
    <t>0220543575</t>
  </si>
  <si>
    <t>07042517152</t>
  </si>
  <si>
    <t>0314449860</t>
  </si>
  <si>
    <t>01076248795</t>
  </si>
  <si>
    <t>01033889898</t>
  </si>
  <si>
    <t>024063322</t>
  </si>
  <si>
    <t>07042501811</t>
  </si>
  <si>
    <t>01092737118</t>
  </si>
  <si>
    <t>01022882991</t>
  </si>
  <si>
    <t>01079979669</t>
  </si>
  <si>
    <t>07044640162</t>
  </si>
  <si>
    <t>07089463500</t>
  </si>
  <si>
    <t>01032153203</t>
  </si>
  <si>
    <t>01088991504</t>
  </si>
  <si>
    <t>07077561200</t>
  </si>
  <si>
    <t>0233618388</t>
  </si>
  <si>
    <t>01094140593</t>
  </si>
  <si>
    <t>15668085</t>
  </si>
  <si>
    <t>01094633921</t>
  </si>
  <si>
    <t>01033416511</t>
  </si>
  <si>
    <t>0328760704</t>
  </si>
  <si>
    <t>01026884490</t>
  </si>
  <si>
    <t>0315718585</t>
  </si>
  <si>
    <t>01064760466</t>
  </si>
  <si>
    <t>01043586846</t>
  </si>
  <si>
    <t>01073775169</t>
  </si>
  <si>
    <t>01088680167</t>
  </si>
  <si>
    <t>01084208972</t>
  </si>
  <si>
    <t>027023322</t>
  </si>
  <si>
    <t>0629440815</t>
  </si>
  <si>
    <t>01058856824</t>
  </si>
  <si>
    <t>0549769595</t>
  </si>
  <si>
    <t>01053806014</t>
  </si>
  <si>
    <t>01055142254</t>
  </si>
  <si>
    <t>01066255252</t>
  </si>
  <si>
    <t>0322023114</t>
  </si>
  <si>
    <t>01099030987</t>
  </si>
  <si>
    <t>07088109977</t>
  </si>
  <si>
    <t>01082667409</t>
  </si>
  <si>
    <t>0220283312</t>
  </si>
  <si>
    <t>01099990846</t>
  </si>
  <si>
    <t>0549318983</t>
  </si>
  <si>
    <t>0312955111</t>
  </si>
  <si>
    <t>01084828330</t>
  </si>
  <si>
    <t>01058331981</t>
  </si>
  <si>
    <t>07052202368</t>
  </si>
  <si>
    <t>01039767519</t>
  </si>
  <si>
    <t>01023558879</t>
  </si>
  <si>
    <t>029458000</t>
  </si>
  <si>
    <t>01062244700</t>
  </si>
  <si>
    <t>01077747563</t>
  </si>
  <si>
    <t>0316043500</t>
  </si>
  <si>
    <t>01067821111</t>
  </si>
  <si>
    <t>01029998806</t>
  </si>
  <si>
    <t>01036577992</t>
  </si>
  <si>
    <t>0515181008</t>
  </si>
  <si>
    <t>01036226696</t>
  </si>
  <si>
    <t>07041949400</t>
  </si>
  <si>
    <t>01023254676</t>
  </si>
  <si>
    <t>01072951421</t>
  </si>
  <si>
    <t>01053634701</t>
  </si>
  <si>
    <t>0269528944</t>
  </si>
  <si>
    <t>0111111111</t>
  </si>
  <si>
    <t>01111111</t>
  </si>
  <si>
    <t>01082761225</t>
  </si>
  <si>
    <t>0327158479</t>
  </si>
  <si>
    <t>01099614351</t>
  </si>
  <si>
    <t>07042223029</t>
  </si>
  <si>
    <t>01072022910</t>
  </si>
  <si>
    <t>01033394510</t>
  </si>
  <si>
    <t>01029870085</t>
  </si>
  <si>
    <t>01062814987</t>
  </si>
  <si>
    <t>0264077890</t>
  </si>
  <si>
    <t>01021043402</t>
  </si>
  <si>
    <t>01067253585</t>
  </si>
  <si>
    <t>0230184587</t>
  </si>
  <si>
    <t>0230184588</t>
  </si>
  <si>
    <t>028383307</t>
  </si>
  <si>
    <t>01084808850</t>
  </si>
  <si>
    <t>01046223021</t>
  </si>
  <si>
    <t>01026143500</t>
  </si>
  <si>
    <t>07089099954</t>
  </si>
  <si>
    <t>01031331372</t>
  </si>
  <si>
    <t>01041169444</t>
  </si>
  <si>
    <t>01076788456</t>
  </si>
  <si>
    <t>07041620369</t>
  </si>
  <si>
    <t>01037478931</t>
  </si>
  <si>
    <t>0319867371</t>
  </si>
  <si>
    <t>01033215081</t>
  </si>
  <si>
    <t>01029786836</t>
  </si>
  <si>
    <t>0314594150</t>
  </si>
  <si>
    <t>07042384833</t>
  </si>
  <si>
    <t>028358844</t>
  </si>
  <si>
    <t>0315721478</t>
  </si>
  <si>
    <t>0317351550</t>
  </si>
  <si>
    <t>18001710</t>
  </si>
  <si>
    <t>025859764</t>
  </si>
  <si>
    <t>15993301</t>
  </si>
  <si>
    <t>027126745</t>
  </si>
  <si>
    <t>07048706025</t>
  </si>
  <si>
    <t>18335772</t>
  </si>
  <si>
    <t>0319235022</t>
  </si>
  <si>
    <t>0226021505</t>
  </si>
  <si>
    <t>07023851880</t>
  </si>
  <si>
    <t>0319861233</t>
  </si>
  <si>
    <t>01021884475</t>
  </si>
  <si>
    <t>16617223</t>
  </si>
  <si>
    <t>03180584179</t>
  </si>
  <si>
    <t>0536114936</t>
  </si>
  <si>
    <t>07080954928</t>
  </si>
  <si>
    <t>01092405369</t>
  </si>
  <si>
    <t>01047596594</t>
  </si>
  <si>
    <t>01077202077</t>
  </si>
  <si>
    <t>0315466540</t>
  </si>
  <si>
    <t>01037616699</t>
  </si>
  <si>
    <t>01020988109</t>
  </si>
  <si>
    <t>07051024891</t>
  </si>
  <si>
    <t>029042012</t>
  </si>
  <si>
    <t>01057204890</t>
  </si>
  <si>
    <t>07081468890</t>
  </si>
  <si>
    <t>01020665654</t>
  </si>
  <si>
    <t>0519292100</t>
  </si>
  <si>
    <t>01097868488</t>
  </si>
  <si>
    <t>0325627150</t>
  </si>
  <si>
    <t>01026757425</t>
  </si>
  <si>
    <t>07040647852</t>
  </si>
  <si>
    <t>01047308432</t>
  </si>
  <si>
    <t>01099950492</t>
  </si>
  <si>
    <t>01055917779</t>
  </si>
  <si>
    <t>0319872987</t>
  </si>
  <si>
    <t>01037348098</t>
  </si>
  <si>
    <t>07082860376</t>
  </si>
  <si>
    <t>07041100147</t>
  </si>
  <si>
    <t>15225417</t>
  </si>
  <si>
    <t>07042797000</t>
  </si>
  <si>
    <t>01039250833</t>
  </si>
  <si>
    <t>01039258033</t>
  </si>
  <si>
    <t>0315336481</t>
  </si>
  <si>
    <t>025550111</t>
  </si>
  <si>
    <t>01074336620</t>
  </si>
  <si>
    <t>07078486999</t>
  </si>
  <si>
    <t>01062390625</t>
  </si>
  <si>
    <t>027907333</t>
  </si>
  <si>
    <t>01092129302</t>
  </si>
  <si>
    <t>07046100410</t>
  </si>
  <si>
    <t>0326110801</t>
  </si>
  <si>
    <t>024854227</t>
  </si>
  <si>
    <t>01026047101</t>
  </si>
  <si>
    <t>07075724880</t>
  </si>
  <si>
    <t>01039024880</t>
  </si>
  <si>
    <t>0322214814</t>
  </si>
  <si>
    <t>01048142640</t>
  </si>
  <si>
    <t>01039596537</t>
  </si>
  <si>
    <t>16709592</t>
  </si>
  <si>
    <t>01030217747</t>
  </si>
  <si>
    <t>07071789991</t>
  </si>
  <si>
    <t>03180714400</t>
  </si>
  <si>
    <t>01040674311</t>
  </si>
  <si>
    <t>01076822282</t>
  </si>
  <si>
    <t>01063903194</t>
  </si>
  <si>
    <t>01097679068</t>
  </si>
  <si>
    <t>03180016380</t>
  </si>
  <si>
    <t>01093296830</t>
  </si>
  <si>
    <t>07044004909</t>
  </si>
  <si>
    <t>01034123126</t>
  </si>
  <si>
    <t>0215888441</t>
  </si>
  <si>
    <t>01025925022</t>
  </si>
  <si>
    <t>01066054199</t>
  </si>
  <si>
    <t>0422556626</t>
  </si>
  <si>
    <t>01091156110</t>
  </si>
  <si>
    <t>01088582526</t>
  </si>
  <si>
    <t>0312761640</t>
  </si>
  <si>
    <t>01096426941</t>
  </si>
  <si>
    <t>01056063029</t>
  </si>
  <si>
    <t>01034007044</t>
  </si>
  <si>
    <t>027935146</t>
  </si>
  <si>
    <t>01071028900</t>
  </si>
  <si>
    <t>07051519777</t>
  </si>
  <si>
    <t>01029674103</t>
  </si>
  <si>
    <t>0519778809</t>
  </si>
  <si>
    <t>01063659979</t>
  </si>
  <si>
    <t>01051188086</t>
  </si>
  <si>
    <t>01082258814</t>
  </si>
  <si>
    <t>01054466660</t>
  </si>
  <si>
    <t>01026107045</t>
  </si>
  <si>
    <t>01026727045</t>
  </si>
  <si>
    <t>07078437154</t>
  </si>
  <si>
    <t>01020631501</t>
  </si>
  <si>
    <t>01021768587</t>
  </si>
  <si>
    <t>0324334010</t>
  </si>
  <si>
    <t>0226144700</t>
  </si>
  <si>
    <t>01086501517</t>
  </si>
  <si>
    <t>07075602182</t>
  </si>
  <si>
    <t>023182187</t>
  </si>
  <si>
    <t>07048885131</t>
  </si>
  <si>
    <t>0318153928</t>
  </si>
  <si>
    <t>01033957996</t>
  </si>
  <si>
    <t>0263703080</t>
  </si>
  <si>
    <t>01055684991</t>
  </si>
  <si>
    <t>07042338991</t>
  </si>
  <si>
    <t>01071148085</t>
  </si>
  <si>
    <t>027061526</t>
  </si>
  <si>
    <t>01052621091</t>
  </si>
  <si>
    <t>18334657</t>
  </si>
  <si>
    <t>18005385</t>
  </si>
  <si>
    <t>07042824555</t>
  </si>
  <si>
    <t>07077827756</t>
  </si>
  <si>
    <t>01077222660</t>
  </si>
  <si>
    <t>07088004039</t>
  </si>
  <si>
    <t>07073926984</t>
  </si>
  <si>
    <t>01048293703</t>
  </si>
  <si>
    <t>0318380719</t>
  </si>
  <si>
    <t>0533224512</t>
  </si>
  <si>
    <t>01067531215</t>
  </si>
  <si>
    <t>01091207352</t>
  </si>
  <si>
    <t>0319144230</t>
  </si>
  <si>
    <t>16619420</t>
  </si>
  <si>
    <t>15886753</t>
  </si>
  <si>
    <t>01077736258</t>
  </si>
  <si>
    <t>01076106258</t>
  </si>
  <si>
    <t>0260611214</t>
  </si>
  <si>
    <t>01051851216</t>
  </si>
  <si>
    <t>0522249003</t>
  </si>
  <si>
    <t>0220691345</t>
  </si>
  <si>
    <t>0270633322</t>
  </si>
  <si>
    <t>01092596410</t>
  </si>
  <si>
    <t>01037050627</t>
  </si>
  <si>
    <t>03180609690</t>
  </si>
  <si>
    <t>18998095</t>
  </si>
  <si>
    <t>01038139138</t>
  </si>
  <si>
    <t>0432188049</t>
  </si>
  <si>
    <t>01034985698</t>
  </si>
  <si>
    <t>01020774178</t>
  </si>
  <si>
    <t>0325849977</t>
  </si>
  <si>
    <t>01089970147</t>
  </si>
  <si>
    <t>01072050023</t>
  </si>
  <si>
    <t>01065717572</t>
  </si>
  <si>
    <t>01062715805</t>
  </si>
  <si>
    <t>03131715712</t>
  </si>
  <si>
    <t>01045472890</t>
  </si>
  <si>
    <t>01077379458</t>
  </si>
  <si>
    <t>0332412307</t>
  </si>
  <si>
    <t>07042239384</t>
  </si>
  <si>
    <t>0263692195</t>
  </si>
  <si>
    <t>01073862016</t>
  </si>
  <si>
    <t>01075735482</t>
  </si>
  <si>
    <t>01086744698</t>
  </si>
  <si>
    <t>01092734237</t>
  </si>
  <si>
    <t>050713515492</t>
  </si>
  <si>
    <t>16884469</t>
  </si>
  <si>
    <t>0319574955</t>
  </si>
  <si>
    <t>01048074646</t>
  </si>
  <si>
    <t>01075225711</t>
  </si>
  <si>
    <t>0269527333</t>
  </si>
  <si>
    <t>01047103038</t>
  </si>
  <si>
    <t>0328790704</t>
  </si>
  <si>
    <t>01041737364</t>
  </si>
  <si>
    <t>07087305396</t>
  </si>
  <si>
    <t>01038372371</t>
  </si>
  <si>
    <t>0325676166</t>
  </si>
  <si>
    <t>0236618388</t>
  </si>
  <si>
    <t>07075257878</t>
  </si>
  <si>
    <t>0317264026</t>
  </si>
  <si>
    <t>07044033395</t>
  </si>
  <si>
    <t>01058831981</t>
  </si>
  <si>
    <t>0312825657</t>
  </si>
  <si>
    <t>01076768261</t>
  </si>
  <si>
    <t>15774959</t>
  </si>
  <si>
    <t>01079238055</t>
  </si>
  <si>
    <t>0234293037</t>
  </si>
  <si>
    <t>0629549998</t>
  </si>
  <si>
    <t>07044005211</t>
  </si>
  <si>
    <t>01036449181</t>
  </si>
  <si>
    <t>01089815520</t>
  </si>
  <si>
    <t>01023899638</t>
  </si>
  <si>
    <t>01039552014</t>
  </si>
  <si>
    <t>0448689188</t>
  </si>
  <si>
    <t>07077123334</t>
  </si>
  <si>
    <t>029228798</t>
  </si>
  <si>
    <t>열1</t>
  </si>
  <si>
    <t>열2</t>
  </si>
  <si>
    <t>열3</t>
  </si>
  <si>
    <t>열4</t>
  </si>
  <si>
    <t>열5</t>
  </si>
  <si>
    <t>열6</t>
  </si>
  <si>
    <t>열7</t>
  </si>
  <si>
    <t>열8</t>
  </si>
  <si>
    <t>열9</t>
  </si>
  <si>
    <t>열10</t>
  </si>
  <si>
    <t>열11</t>
  </si>
  <si>
    <t>열12</t>
  </si>
  <si>
    <t>열13</t>
  </si>
  <si>
    <t>열14</t>
  </si>
  <si>
    <t>열15</t>
  </si>
  <si>
    <t>열16</t>
  </si>
  <si>
    <t>메더스모자</t>
    <phoneticPr fontId="2" type="noConversion"/>
  </si>
  <si>
    <t>경춘로 239 (리맥스빌딩) CJ대한통운 청연대리점</t>
    <phoneticPr fontId="2" type="noConversion"/>
  </si>
  <si>
    <t>HLS대통</t>
    <phoneticPr fontId="2" type="noConversion"/>
  </si>
  <si>
    <t>성내로 20 (정일빌딩) 정일빌딩 401호</t>
    <phoneticPr fontId="2" type="noConversion"/>
  </si>
  <si>
    <t>무촌로 21-97 농업회사법인 (주)리코마케팅</t>
    <phoneticPr fontId="2" type="noConversion"/>
  </si>
  <si>
    <t>방두말4길 23 (주)세레코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</si>
</sst>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3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6EC48-D29C-4372-B8D7-9E8FCF626ED5}" name="표1" displayName="표1" ref="A1:P454" totalsRowShown="0" headerRowDxfId="0">
  <autoFilter ref="A1:P454" xr:uid="{0926EC48-D29C-4372-B8D7-9E8FCF626ED5}"/>
  <tableColumns count="16">
    <tableColumn id="1" xr3:uid="{73FD00D2-77BD-40F8-A565-48CCBA25F886}" name="열1"/>
    <tableColumn id="2" xr3:uid="{55093004-39AC-4378-B78A-F722F4AD3BB7}" name="열2"/>
    <tableColumn id="3" xr3:uid="{67F54BEB-E2E0-4163-8BAF-900AC9F3BB1B}" name="열3" dataDxfId="1"/>
    <tableColumn id="4" xr3:uid="{86D66F13-BB55-4C2C-A68E-63CDE61E4303}" name="열4"/>
    <tableColumn id="5" xr3:uid="{6BEC4717-496F-4947-B333-75D168E00407}" name="열5"/>
    <tableColumn id="6" xr3:uid="{6CB1B592-CDEC-4D05-8C30-EF55E464DFDC}" name="열6"/>
    <tableColumn id="7" xr3:uid="{52610ED1-B0C5-4DAC-ABD7-BB9C53C2B5F1}" name="열7"/>
    <tableColumn id="8" xr3:uid="{28EE21BF-BDB0-4FFE-B942-558E05289646}" name="열8"/>
    <tableColumn id="9" xr3:uid="{DD24F5C9-55AF-4D0D-AFE8-39B9EF293F6A}" name="열9"/>
    <tableColumn id="10" xr3:uid="{3B21ED3E-BD41-4383-A2CB-BCD1D7B6F7F2}" name="열10"/>
    <tableColumn id="11" xr3:uid="{EFD93F3E-1508-49CE-B378-ABF733ECBC6B}" name="열11"/>
    <tableColumn id="12" xr3:uid="{E666D000-39A0-476C-859D-6FB1B2BA9708}" name="열12"/>
    <tableColumn id="13" xr3:uid="{9B64C725-10BF-4CA5-B57D-B6EA3D18800D}" name="열13"/>
    <tableColumn id="14" xr3:uid="{17F9243A-019F-4AC7-AB87-EFF3AB1B36AB}" name="열14"/>
    <tableColumn id="15" xr3:uid="{48A01701-AD9F-4F8E-A51D-1688600255B9}" name="열15"/>
    <tableColumn id="16" xr3:uid="{5F993009-1B03-459A-9272-5B76CBA48D36}" name="열16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4"/>
  <sheetViews>
    <sheetView tabSelected="1" topLeftCell="A425" workbookViewId="0">
      <selection activeCell="K454" sqref="K454"/>
    </sheetView>
  </sheetViews>
  <sheetFormatPr defaultRowHeight="17" x14ac:dyDescent="0.45"/>
  <cols>
    <col min="3" max="3" width="8.6640625" customWidth="1"/>
    <col min="4" max="4" width="36.1640625" customWidth="1"/>
    <col min="5" max="5" width="0" hidden="1" customWidth="1"/>
    <col min="6" max="6" width="12" hidden="1" customWidth="1"/>
    <col min="7" max="7" width="17.9140625" customWidth="1"/>
    <col min="8" max="8" width="55.6640625" customWidth="1"/>
    <col min="9" max="9" width="0.58203125" customWidth="1"/>
    <col min="10" max="10" width="23.75" customWidth="1"/>
    <col min="11" max="11" width="17.9140625" customWidth="1"/>
    <col min="12" max="12" width="13.5" customWidth="1"/>
    <col min="13" max="13" width="15.33203125" customWidth="1"/>
    <col min="14" max="14" width="22.9140625" customWidth="1"/>
    <col min="15" max="15" width="23" customWidth="1"/>
  </cols>
  <sheetData>
    <row r="1" spans="1:16" x14ac:dyDescent="0.45">
      <c r="A1" t="s">
        <v>2532</v>
      </c>
      <c r="B1" t="s">
        <v>2533</v>
      </c>
      <c r="C1" s="1" t="s">
        <v>2534</v>
      </c>
      <c r="D1" s="1" t="s">
        <v>2535</v>
      </c>
      <c r="E1" s="1" t="s">
        <v>2536</v>
      </c>
      <c r="F1" s="1" t="s">
        <v>2537</v>
      </c>
      <c r="G1" s="1" t="s">
        <v>2538</v>
      </c>
      <c r="H1" s="1" t="s">
        <v>2539</v>
      </c>
      <c r="I1" s="1" t="s">
        <v>2540</v>
      </c>
      <c r="J1" s="1" t="s">
        <v>2541</v>
      </c>
      <c r="K1" s="1" t="s">
        <v>2542</v>
      </c>
      <c r="L1" s="1" t="s">
        <v>2543</v>
      </c>
      <c r="M1" s="1" t="s">
        <v>2544</v>
      </c>
      <c r="N1" s="1" t="s">
        <v>2545</v>
      </c>
      <c r="O1" s="1" t="s">
        <v>2546</v>
      </c>
      <c r="P1" s="1" t="s">
        <v>2547</v>
      </c>
    </row>
    <row r="2" spans="1:16" x14ac:dyDescent="0.45">
      <c r="A2" t="s">
        <v>1789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/>
      <c r="K2" s="1"/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</row>
    <row r="3" spans="1:16" x14ac:dyDescent="0.45">
      <c r="A3" t="s">
        <v>1790</v>
      </c>
      <c r="B3" t="b">
        <f>IF(A3="WDS", COUNTIF($D:$D, D3) &gt; 1, "")</f>
        <v>1</v>
      </c>
      <c r="C3" s="1">
        <v>101031767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2112</v>
      </c>
      <c r="K3" t="s">
        <v>2112</v>
      </c>
      <c r="L3" t="s">
        <v>18</v>
      </c>
      <c r="M3" t="s">
        <v>18</v>
      </c>
      <c r="N3" t="b">
        <v>1</v>
      </c>
      <c r="O3" t="b">
        <v>1</v>
      </c>
      <c r="P3" t="b">
        <v>0</v>
      </c>
    </row>
    <row r="4" spans="1:16" x14ac:dyDescent="0.45">
      <c r="A4" t="s">
        <v>1790</v>
      </c>
      <c r="B4" t="b">
        <f>IF(A4="WDS", COUNTIF($D:$D, D4) &gt; 1, "")</f>
        <v>1</v>
      </c>
      <c r="C4" s="1">
        <v>1091791</v>
      </c>
      <c r="D4" t="s">
        <v>12</v>
      </c>
      <c r="E4" t="s">
        <v>19</v>
      </c>
      <c r="F4" t="s">
        <v>14</v>
      </c>
      <c r="G4" t="s">
        <v>15</v>
      </c>
      <c r="H4" t="s">
        <v>16</v>
      </c>
      <c r="I4" t="s">
        <v>17</v>
      </c>
      <c r="J4" t="s">
        <v>2112</v>
      </c>
      <c r="K4" t="s">
        <v>2112</v>
      </c>
      <c r="L4" t="s">
        <v>18</v>
      </c>
      <c r="M4" t="s">
        <v>18</v>
      </c>
      <c r="N4" t="b">
        <v>1</v>
      </c>
      <c r="O4" t="b">
        <v>1</v>
      </c>
      <c r="P4" t="b">
        <v>0</v>
      </c>
    </row>
    <row r="5" spans="1:16" x14ac:dyDescent="0.45">
      <c r="A5" t="s">
        <v>1790</v>
      </c>
      <c r="B5" t="b">
        <f>IF(A5="WDS", COUNTIF($D:$D, D5) &gt; 1, "")</f>
        <v>0</v>
      </c>
      <c r="C5" s="1">
        <v>107852875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2113</v>
      </c>
      <c r="K5" t="s">
        <v>2114</v>
      </c>
      <c r="L5" t="s">
        <v>26</v>
      </c>
      <c r="M5" t="s">
        <v>27</v>
      </c>
      <c r="N5" t="b">
        <v>1</v>
      </c>
      <c r="O5" t="b">
        <v>1</v>
      </c>
      <c r="P5" t="b">
        <v>0</v>
      </c>
    </row>
    <row r="6" spans="1:16" x14ac:dyDescent="0.45">
      <c r="A6" t="s">
        <v>1790</v>
      </c>
      <c r="B6" t="b">
        <f>IF(A6="WDS", COUNTIF($D:$D, D6) &gt; 1, "")</f>
        <v>0</v>
      </c>
      <c r="C6" s="1">
        <v>107673952</v>
      </c>
      <c r="D6" t="s">
        <v>28</v>
      </c>
      <c r="E6" t="s">
        <v>21</v>
      </c>
      <c r="F6" t="s">
        <v>29</v>
      </c>
      <c r="G6" t="s">
        <v>30</v>
      </c>
      <c r="H6" t="s">
        <v>31</v>
      </c>
      <c r="I6" t="s">
        <v>32</v>
      </c>
      <c r="J6" t="s">
        <v>2115</v>
      </c>
      <c r="K6" t="s">
        <v>2115</v>
      </c>
      <c r="L6" t="s">
        <v>33</v>
      </c>
      <c r="M6" t="s">
        <v>33</v>
      </c>
      <c r="N6" t="b">
        <v>1</v>
      </c>
      <c r="O6" t="b">
        <v>1</v>
      </c>
      <c r="P6" t="b">
        <v>0</v>
      </c>
    </row>
    <row r="7" spans="1:16" x14ac:dyDescent="0.45">
      <c r="A7" t="s">
        <v>1790</v>
      </c>
      <c r="B7" t="b">
        <f>IF(A7="WDS", COUNTIF($D:$D, D7) &gt; 1, "")</f>
        <v>1</v>
      </c>
      <c r="C7" s="1">
        <v>107655717</v>
      </c>
      <c r="D7" t="s">
        <v>34</v>
      </c>
      <c r="E7" t="s">
        <v>21</v>
      </c>
      <c r="F7" t="s">
        <v>35</v>
      </c>
      <c r="G7" t="s">
        <v>36</v>
      </c>
      <c r="H7" t="s">
        <v>37</v>
      </c>
      <c r="I7" t="s">
        <v>38</v>
      </c>
      <c r="J7" t="s">
        <v>2116</v>
      </c>
      <c r="K7" t="s">
        <v>2116</v>
      </c>
      <c r="L7" t="s">
        <v>39</v>
      </c>
      <c r="M7" t="s">
        <v>39</v>
      </c>
      <c r="N7" t="b">
        <v>1</v>
      </c>
      <c r="O7" t="b">
        <v>1</v>
      </c>
      <c r="P7" t="b">
        <v>0</v>
      </c>
    </row>
    <row r="8" spans="1:16" x14ac:dyDescent="0.45">
      <c r="A8" t="s">
        <v>1790</v>
      </c>
      <c r="B8" t="b">
        <f>IF(A8="WDS", COUNTIF($D:$D, D8) &gt; 1, "")</f>
        <v>0</v>
      </c>
      <c r="C8" s="1">
        <v>107513901</v>
      </c>
      <c r="D8" t="s">
        <v>40</v>
      </c>
      <c r="E8" t="s">
        <v>21</v>
      </c>
      <c r="F8" t="s">
        <v>41</v>
      </c>
      <c r="G8" t="s">
        <v>42</v>
      </c>
      <c r="H8" t="s">
        <v>43</v>
      </c>
      <c r="I8" t="s">
        <v>44</v>
      </c>
      <c r="J8" t="s">
        <v>2117</v>
      </c>
      <c r="K8" t="s">
        <v>2112</v>
      </c>
      <c r="L8" t="s">
        <v>45</v>
      </c>
      <c r="M8" t="s">
        <v>18</v>
      </c>
      <c r="N8" t="b">
        <v>1</v>
      </c>
      <c r="O8" t="b">
        <v>1</v>
      </c>
      <c r="P8" t="b">
        <v>0</v>
      </c>
    </row>
    <row r="9" spans="1:16" x14ac:dyDescent="0.45">
      <c r="A9" t="s">
        <v>1790</v>
      </c>
      <c r="B9" t="b">
        <f>IF(A9="WDS", COUNTIF($D:$D, D9) &gt; 1, "")</f>
        <v>0</v>
      </c>
      <c r="C9" s="1">
        <v>107493555</v>
      </c>
      <c r="D9" t="s">
        <v>46</v>
      </c>
      <c r="E9" t="s">
        <v>21</v>
      </c>
      <c r="F9" t="s">
        <v>47</v>
      </c>
      <c r="G9" t="s">
        <v>48</v>
      </c>
      <c r="H9" t="s">
        <v>49</v>
      </c>
      <c r="I9" t="s">
        <v>50</v>
      </c>
      <c r="J9" t="s">
        <v>2118</v>
      </c>
      <c r="K9" t="s">
        <v>2112</v>
      </c>
      <c r="L9" t="s">
        <v>51</v>
      </c>
      <c r="M9" t="s">
        <v>18</v>
      </c>
      <c r="N9" t="b">
        <v>1</v>
      </c>
      <c r="O9" t="b">
        <v>1</v>
      </c>
      <c r="P9" t="b">
        <v>0</v>
      </c>
    </row>
    <row r="10" spans="1:16" x14ac:dyDescent="0.45">
      <c r="A10" t="s">
        <v>1790</v>
      </c>
      <c r="B10" t="b">
        <f>IF(A10="WDS", COUNTIF($D:$D, D10) &gt; 1, "")</f>
        <v>0</v>
      </c>
      <c r="C10" s="1">
        <v>107432917</v>
      </c>
      <c r="D10" t="s">
        <v>52</v>
      </c>
      <c r="E10" t="s">
        <v>21</v>
      </c>
      <c r="F10" t="s">
        <v>53</v>
      </c>
      <c r="G10" t="s">
        <v>54</v>
      </c>
      <c r="H10" t="s">
        <v>55</v>
      </c>
      <c r="I10" t="s">
        <v>56</v>
      </c>
      <c r="J10" t="s">
        <v>2119</v>
      </c>
      <c r="K10" t="s">
        <v>2112</v>
      </c>
      <c r="L10" t="s">
        <v>57</v>
      </c>
      <c r="M10" t="s">
        <v>18</v>
      </c>
      <c r="N10" t="b">
        <v>1</v>
      </c>
      <c r="O10" t="b">
        <v>1</v>
      </c>
      <c r="P10" t="b">
        <v>0</v>
      </c>
    </row>
    <row r="11" spans="1:16" x14ac:dyDescent="0.45">
      <c r="A11" t="s">
        <v>1790</v>
      </c>
      <c r="B11" t="b">
        <f>IF(A11="WDS", COUNTIF($D:$D, D11) &gt; 1, "")</f>
        <v>0</v>
      </c>
      <c r="C11" s="1">
        <v>107432755</v>
      </c>
      <c r="D11" t="s">
        <v>58</v>
      </c>
      <c r="E11" t="s">
        <v>21</v>
      </c>
      <c r="F11" t="s">
        <v>59</v>
      </c>
      <c r="G11" t="s">
        <v>60</v>
      </c>
      <c r="H11" t="s">
        <v>61</v>
      </c>
      <c r="I11" t="s">
        <v>62</v>
      </c>
      <c r="J11" t="s">
        <v>2120</v>
      </c>
      <c r="K11" t="s">
        <v>2112</v>
      </c>
      <c r="L11" t="s">
        <v>63</v>
      </c>
      <c r="M11" t="s">
        <v>18</v>
      </c>
      <c r="N11" t="b">
        <v>1</v>
      </c>
      <c r="O11" t="b">
        <v>1</v>
      </c>
      <c r="P11" t="b">
        <v>0</v>
      </c>
    </row>
    <row r="12" spans="1:16" x14ac:dyDescent="0.45">
      <c r="A12" t="s">
        <v>1790</v>
      </c>
      <c r="B12" t="b">
        <f>IF(A12="WDS", COUNTIF($D:$D, D12) &gt; 1, "")</f>
        <v>0</v>
      </c>
      <c r="C12" s="1">
        <v>107346189</v>
      </c>
      <c r="D12" t="s">
        <v>64</v>
      </c>
      <c r="E12" t="s">
        <v>21</v>
      </c>
      <c r="F12" t="s">
        <v>65</v>
      </c>
      <c r="G12" t="s">
        <v>66</v>
      </c>
      <c r="H12" t="s">
        <v>67</v>
      </c>
      <c r="I12" t="s">
        <v>68</v>
      </c>
      <c r="J12" t="s">
        <v>2121</v>
      </c>
      <c r="K12" t="s">
        <v>2112</v>
      </c>
      <c r="L12" t="s">
        <v>69</v>
      </c>
      <c r="M12" t="s">
        <v>18</v>
      </c>
      <c r="N12" t="b">
        <v>1</v>
      </c>
      <c r="O12" t="b">
        <v>1</v>
      </c>
      <c r="P12" t="b">
        <v>0</v>
      </c>
    </row>
    <row r="13" spans="1:16" x14ac:dyDescent="0.45">
      <c r="A13" t="s">
        <v>1790</v>
      </c>
      <c r="B13" t="b">
        <f>IF(A13="WDS", COUNTIF($D:$D, D13) &gt; 1, "")</f>
        <v>0</v>
      </c>
      <c r="C13" s="1">
        <v>107264931</v>
      </c>
      <c r="D13" t="s">
        <v>70</v>
      </c>
      <c r="E13" t="s">
        <v>21</v>
      </c>
      <c r="F13" t="s">
        <v>71</v>
      </c>
      <c r="G13" t="s">
        <v>72</v>
      </c>
      <c r="H13" t="s">
        <v>73</v>
      </c>
      <c r="I13" t="s">
        <v>74</v>
      </c>
      <c r="J13" t="s">
        <v>2122</v>
      </c>
      <c r="K13" t="s">
        <v>2122</v>
      </c>
      <c r="L13" t="s">
        <v>75</v>
      </c>
      <c r="M13" t="s">
        <v>75</v>
      </c>
      <c r="N13" t="b">
        <v>1</v>
      </c>
      <c r="O13" t="b">
        <v>1</v>
      </c>
      <c r="P13" t="b">
        <v>0</v>
      </c>
    </row>
    <row r="14" spans="1:16" x14ac:dyDescent="0.45">
      <c r="A14" t="s">
        <v>1790</v>
      </c>
      <c r="B14" t="b">
        <f>IF(A14="WDS", COUNTIF($D:$D, D14) &gt; 1, "")</f>
        <v>0</v>
      </c>
      <c r="C14" s="1">
        <v>107259408</v>
      </c>
      <c r="D14" t="s">
        <v>76</v>
      </c>
      <c r="E14" t="s">
        <v>21</v>
      </c>
      <c r="F14" t="s">
        <v>77</v>
      </c>
      <c r="G14" t="s">
        <v>78</v>
      </c>
      <c r="H14" t="s">
        <v>79</v>
      </c>
      <c r="I14" t="s">
        <v>80</v>
      </c>
      <c r="J14" t="s">
        <v>2123</v>
      </c>
      <c r="K14" t="s">
        <v>2112</v>
      </c>
      <c r="L14" t="s">
        <v>81</v>
      </c>
      <c r="M14" t="s">
        <v>18</v>
      </c>
      <c r="N14" t="b">
        <v>1</v>
      </c>
      <c r="O14" t="b">
        <v>1</v>
      </c>
      <c r="P14" t="b">
        <v>0</v>
      </c>
    </row>
    <row r="15" spans="1:16" x14ac:dyDescent="0.45">
      <c r="A15" t="s">
        <v>1790</v>
      </c>
      <c r="B15" t="b">
        <f>IF(A15="WDS", COUNTIF($D:$D, D15) &gt; 1, "")</f>
        <v>0</v>
      </c>
      <c r="C15" s="1">
        <v>107165274</v>
      </c>
      <c r="D15" t="s">
        <v>82</v>
      </c>
      <c r="E15" t="s">
        <v>21</v>
      </c>
      <c r="F15" t="s">
        <v>83</v>
      </c>
      <c r="G15" t="s">
        <v>84</v>
      </c>
      <c r="H15" t="s">
        <v>85</v>
      </c>
      <c r="I15" t="s">
        <v>86</v>
      </c>
      <c r="J15" t="s">
        <v>2124</v>
      </c>
      <c r="K15" t="s">
        <v>2125</v>
      </c>
      <c r="L15" t="s">
        <v>87</v>
      </c>
      <c r="M15" t="s">
        <v>88</v>
      </c>
      <c r="N15" t="b">
        <v>1</v>
      </c>
      <c r="O15" t="b">
        <v>1</v>
      </c>
      <c r="P15" t="b">
        <v>0</v>
      </c>
    </row>
    <row r="16" spans="1:16" x14ac:dyDescent="0.45">
      <c r="A16" t="s">
        <v>1790</v>
      </c>
      <c r="B16" t="b">
        <f>IF(A16="WDS", COUNTIF($D:$D, D16) &gt; 1, "")</f>
        <v>0</v>
      </c>
      <c r="C16" s="1">
        <v>107026066</v>
      </c>
      <c r="D16" t="s">
        <v>89</v>
      </c>
      <c r="E16" t="s">
        <v>21</v>
      </c>
      <c r="F16" t="s">
        <v>90</v>
      </c>
      <c r="G16" t="s">
        <v>91</v>
      </c>
      <c r="H16" t="s">
        <v>92</v>
      </c>
      <c r="I16" t="s">
        <v>93</v>
      </c>
      <c r="J16" t="s">
        <v>2126</v>
      </c>
      <c r="K16" t="s">
        <v>2112</v>
      </c>
      <c r="L16" t="s">
        <v>94</v>
      </c>
      <c r="M16" t="s">
        <v>18</v>
      </c>
      <c r="N16" t="b">
        <v>1</v>
      </c>
      <c r="O16" t="b">
        <v>1</v>
      </c>
      <c r="P16" t="b">
        <v>0</v>
      </c>
    </row>
    <row r="17" spans="1:16" x14ac:dyDescent="0.45">
      <c r="A17" t="s">
        <v>1790</v>
      </c>
      <c r="B17" t="b">
        <f>IF(A17="WDS", COUNTIF($D:$D, D17) &gt; 1, "")</f>
        <v>0</v>
      </c>
      <c r="C17" s="1">
        <v>106795899</v>
      </c>
      <c r="D17" t="s">
        <v>95</v>
      </c>
      <c r="E17" t="s">
        <v>21</v>
      </c>
      <c r="F17" t="s">
        <v>96</v>
      </c>
      <c r="G17" t="s">
        <v>97</v>
      </c>
      <c r="H17" t="s">
        <v>98</v>
      </c>
      <c r="I17" t="s">
        <v>99</v>
      </c>
      <c r="J17" t="s">
        <v>2127</v>
      </c>
      <c r="K17" t="s">
        <v>2112</v>
      </c>
      <c r="L17" t="s">
        <v>100</v>
      </c>
      <c r="M17" t="s">
        <v>18</v>
      </c>
      <c r="N17" t="b">
        <v>1</v>
      </c>
      <c r="O17" t="b">
        <v>1</v>
      </c>
      <c r="P17" t="b">
        <v>0</v>
      </c>
    </row>
    <row r="18" spans="1:16" x14ac:dyDescent="0.45">
      <c r="A18" t="s">
        <v>1790</v>
      </c>
      <c r="B18" t="b">
        <f>IF(A18="WDS", COUNTIF($D:$D, D18) &gt; 1, "")</f>
        <v>0</v>
      </c>
      <c r="C18" s="1">
        <v>106776796</v>
      </c>
      <c r="D18" t="s">
        <v>101</v>
      </c>
      <c r="E18" t="s">
        <v>21</v>
      </c>
      <c r="F18" t="s">
        <v>102</v>
      </c>
      <c r="G18" t="s">
        <v>103</v>
      </c>
      <c r="H18" t="s">
        <v>104</v>
      </c>
      <c r="I18" t="s">
        <v>105</v>
      </c>
      <c r="J18" t="s">
        <v>2128</v>
      </c>
      <c r="K18" t="s">
        <v>2128</v>
      </c>
      <c r="L18" t="s">
        <v>106</v>
      </c>
      <c r="M18" t="s">
        <v>106</v>
      </c>
      <c r="N18" t="b">
        <v>1</v>
      </c>
      <c r="O18" t="b">
        <v>1</v>
      </c>
      <c r="P18" t="b">
        <v>0</v>
      </c>
    </row>
    <row r="19" spans="1:16" x14ac:dyDescent="0.45">
      <c r="A19" t="s">
        <v>1790</v>
      </c>
      <c r="B19" t="b">
        <f>IF(A19="WDS", COUNTIF($D:$D, D19) &gt; 1, "")</f>
        <v>0</v>
      </c>
      <c r="C19" s="1">
        <v>106740924</v>
      </c>
      <c r="D19" t="s">
        <v>107</v>
      </c>
      <c r="E19" t="s">
        <v>21</v>
      </c>
      <c r="F19" t="s">
        <v>108</v>
      </c>
      <c r="G19" t="s">
        <v>84</v>
      </c>
      <c r="H19" t="s">
        <v>109</v>
      </c>
      <c r="I19" t="s">
        <v>110</v>
      </c>
      <c r="J19" t="s">
        <v>2129</v>
      </c>
      <c r="K19" t="s">
        <v>2112</v>
      </c>
      <c r="L19" t="s">
        <v>111</v>
      </c>
      <c r="M19" t="s">
        <v>18</v>
      </c>
      <c r="N19" t="b">
        <v>1</v>
      </c>
      <c r="O19" t="b">
        <v>1</v>
      </c>
      <c r="P19" t="b">
        <v>0</v>
      </c>
    </row>
    <row r="20" spans="1:16" x14ac:dyDescent="0.45">
      <c r="A20" t="s">
        <v>1790</v>
      </c>
      <c r="B20" t="b">
        <f>IF(A20="WDS", COUNTIF($D:$D, D20) &gt; 1, "")</f>
        <v>0</v>
      </c>
      <c r="C20" s="1">
        <v>106626991</v>
      </c>
      <c r="D20" t="s">
        <v>112</v>
      </c>
      <c r="E20" t="s">
        <v>21</v>
      </c>
      <c r="F20" t="s">
        <v>113</v>
      </c>
      <c r="G20" t="s">
        <v>114</v>
      </c>
      <c r="H20" t="s">
        <v>115</v>
      </c>
      <c r="I20" t="s">
        <v>116</v>
      </c>
      <c r="J20" t="s">
        <v>2130</v>
      </c>
      <c r="K20" t="s">
        <v>2112</v>
      </c>
      <c r="L20" t="s">
        <v>117</v>
      </c>
      <c r="M20" t="s">
        <v>18</v>
      </c>
      <c r="N20" t="b">
        <v>1</v>
      </c>
      <c r="O20" t="b">
        <v>1</v>
      </c>
      <c r="P20" t="b">
        <v>0</v>
      </c>
    </row>
    <row r="21" spans="1:16" x14ac:dyDescent="0.45">
      <c r="A21" t="s">
        <v>1790</v>
      </c>
      <c r="B21" t="b">
        <f>IF(A21="WDS", COUNTIF($D:$D, D21) &gt; 1, "")</f>
        <v>0</v>
      </c>
      <c r="C21" s="1">
        <v>106523673</v>
      </c>
      <c r="D21" t="s">
        <v>118</v>
      </c>
      <c r="E21" t="s">
        <v>21</v>
      </c>
      <c r="F21" t="s">
        <v>119</v>
      </c>
      <c r="G21" t="s">
        <v>97</v>
      </c>
      <c r="H21" t="s">
        <v>120</v>
      </c>
      <c r="I21" t="s">
        <v>121</v>
      </c>
      <c r="J21" t="s">
        <v>2112</v>
      </c>
      <c r="K21" t="s">
        <v>2112</v>
      </c>
      <c r="L21" t="s">
        <v>18</v>
      </c>
      <c r="M21" t="s">
        <v>18</v>
      </c>
      <c r="N21" t="b">
        <v>1</v>
      </c>
      <c r="O21" t="b">
        <v>1</v>
      </c>
      <c r="P21" t="b">
        <v>0</v>
      </c>
    </row>
    <row r="22" spans="1:16" x14ac:dyDescent="0.45">
      <c r="A22" t="s">
        <v>1790</v>
      </c>
      <c r="B22" t="b">
        <f>IF(A22="WDS", COUNTIF($D:$D, D22) &gt; 1, "")</f>
        <v>0</v>
      </c>
      <c r="C22" s="1">
        <v>106484594</v>
      </c>
      <c r="D22" t="s">
        <v>122</v>
      </c>
      <c r="E22" t="s">
        <v>21</v>
      </c>
      <c r="F22" t="s">
        <v>123</v>
      </c>
      <c r="G22" t="s">
        <v>72</v>
      </c>
      <c r="H22" t="s">
        <v>124</v>
      </c>
      <c r="I22" t="s">
        <v>125</v>
      </c>
      <c r="J22" t="s">
        <v>2131</v>
      </c>
      <c r="K22" t="s">
        <v>2112</v>
      </c>
      <c r="L22" t="s">
        <v>126</v>
      </c>
      <c r="M22" t="s">
        <v>18</v>
      </c>
      <c r="N22" t="b">
        <v>1</v>
      </c>
      <c r="O22" t="b">
        <v>1</v>
      </c>
      <c r="P22" t="b">
        <v>0</v>
      </c>
    </row>
    <row r="23" spans="1:16" x14ac:dyDescent="0.45">
      <c r="A23" t="s">
        <v>1790</v>
      </c>
      <c r="B23" t="b">
        <f>IF(A23="WDS", COUNTIF($D:$D, D23) &gt; 1, "")</f>
        <v>0</v>
      </c>
      <c r="C23" s="1">
        <v>106460838</v>
      </c>
      <c r="D23" t="s">
        <v>127</v>
      </c>
      <c r="E23" t="s">
        <v>21</v>
      </c>
      <c r="F23" t="s">
        <v>128</v>
      </c>
      <c r="G23" t="s">
        <v>129</v>
      </c>
      <c r="H23" t="s">
        <v>130</v>
      </c>
      <c r="I23" t="s">
        <v>131</v>
      </c>
      <c r="J23" t="s">
        <v>2132</v>
      </c>
      <c r="K23" t="s">
        <v>2112</v>
      </c>
      <c r="L23" t="s">
        <v>132</v>
      </c>
      <c r="M23" t="s">
        <v>18</v>
      </c>
      <c r="N23" t="b">
        <v>1</v>
      </c>
      <c r="O23" t="b">
        <v>1</v>
      </c>
      <c r="P23" t="b">
        <v>0</v>
      </c>
    </row>
    <row r="24" spans="1:16" x14ac:dyDescent="0.45">
      <c r="A24" t="s">
        <v>1790</v>
      </c>
      <c r="B24" t="b">
        <f>IF(A24="WDS", COUNTIF($D:$D, D24) &gt; 1, "")</f>
        <v>0</v>
      </c>
      <c r="C24" s="1">
        <v>106395054</v>
      </c>
      <c r="D24" t="s">
        <v>133</v>
      </c>
      <c r="E24" t="s">
        <v>21</v>
      </c>
      <c r="F24" t="s">
        <v>134</v>
      </c>
      <c r="G24" t="s">
        <v>129</v>
      </c>
      <c r="H24" t="s">
        <v>135</v>
      </c>
      <c r="I24" t="s">
        <v>136</v>
      </c>
      <c r="J24" t="s">
        <v>2133</v>
      </c>
      <c r="K24" t="s">
        <v>2112</v>
      </c>
      <c r="L24" t="s">
        <v>137</v>
      </c>
      <c r="M24" t="s">
        <v>18</v>
      </c>
      <c r="N24" t="b">
        <v>1</v>
      </c>
      <c r="O24" t="b">
        <v>1</v>
      </c>
      <c r="P24" t="b">
        <v>0</v>
      </c>
    </row>
    <row r="25" spans="1:16" x14ac:dyDescent="0.45">
      <c r="A25" t="s">
        <v>1790</v>
      </c>
      <c r="B25" t="b">
        <f>IF(A25="WDS", COUNTIF($D:$D, D25) &gt; 1, "")</f>
        <v>0</v>
      </c>
      <c r="C25" s="1">
        <v>106379615</v>
      </c>
      <c r="D25" t="s">
        <v>138</v>
      </c>
      <c r="E25" t="s">
        <v>21</v>
      </c>
      <c r="F25" t="s">
        <v>139</v>
      </c>
      <c r="G25" t="s">
        <v>140</v>
      </c>
      <c r="H25" t="s">
        <v>141</v>
      </c>
      <c r="I25" t="s">
        <v>142</v>
      </c>
      <c r="J25" t="s">
        <v>2134</v>
      </c>
      <c r="K25" t="s">
        <v>2112</v>
      </c>
      <c r="L25" t="s">
        <v>143</v>
      </c>
      <c r="M25" t="s">
        <v>18</v>
      </c>
      <c r="N25" t="b">
        <v>1</v>
      </c>
      <c r="O25" t="b">
        <v>1</v>
      </c>
      <c r="P25" t="b">
        <v>0</v>
      </c>
    </row>
    <row r="26" spans="1:16" x14ac:dyDescent="0.45">
      <c r="A26" t="s">
        <v>1790</v>
      </c>
      <c r="B26" t="b">
        <f>IF(A26="WDS", COUNTIF($D:$D, D26) &gt; 1, "")</f>
        <v>0</v>
      </c>
      <c r="C26" s="1">
        <v>106323806</v>
      </c>
      <c r="D26" t="s">
        <v>144</v>
      </c>
      <c r="E26" t="s">
        <v>21</v>
      </c>
      <c r="F26" t="s">
        <v>145</v>
      </c>
      <c r="G26" t="s">
        <v>146</v>
      </c>
      <c r="H26" t="s">
        <v>147</v>
      </c>
      <c r="I26" t="s">
        <v>148</v>
      </c>
      <c r="J26" t="s">
        <v>2135</v>
      </c>
      <c r="K26" t="s">
        <v>2112</v>
      </c>
      <c r="L26" t="s">
        <v>149</v>
      </c>
      <c r="M26" t="s">
        <v>18</v>
      </c>
      <c r="N26" t="b">
        <v>1</v>
      </c>
      <c r="O26" t="b">
        <v>1</v>
      </c>
      <c r="P26" t="b">
        <v>0</v>
      </c>
    </row>
    <row r="27" spans="1:16" x14ac:dyDescent="0.45">
      <c r="A27" t="s">
        <v>1790</v>
      </c>
      <c r="B27" t="b">
        <f>IF(A27="WDS", COUNTIF($D:$D, D27) &gt; 1, "")</f>
        <v>0</v>
      </c>
      <c r="C27" s="1">
        <v>106303505</v>
      </c>
      <c r="D27" t="s">
        <v>150</v>
      </c>
      <c r="E27" t="s">
        <v>21</v>
      </c>
      <c r="F27" t="s">
        <v>151</v>
      </c>
      <c r="G27" t="s">
        <v>152</v>
      </c>
      <c r="H27" t="s">
        <v>153</v>
      </c>
      <c r="I27" t="s">
        <v>154</v>
      </c>
      <c r="J27" t="s">
        <v>2136</v>
      </c>
      <c r="K27" t="s">
        <v>2112</v>
      </c>
      <c r="L27" t="s">
        <v>155</v>
      </c>
      <c r="M27" t="s">
        <v>18</v>
      </c>
      <c r="N27" t="b">
        <v>1</v>
      </c>
      <c r="O27" t="b">
        <v>1</v>
      </c>
      <c r="P27" t="b">
        <v>0</v>
      </c>
    </row>
    <row r="28" spans="1:16" x14ac:dyDescent="0.45">
      <c r="A28" t="s">
        <v>1790</v>
      </c>
      <c r="B28" t="b">
        <f>IF(A28="WDS", COUNTIF($D:$D, D28) &gt; 1, "")</f>
        <v>0</v>
      </c>
      <c r="C28" s="1">
        <v>106266086</v>
      </c>
      <c r="D28" t="s">
        <v>156</v>
      </c>
      <c r="E28" t="s">
        <v>21</v>
      </c>
      <c r="F28" t="s">
        <v>157</v>
      </c>
      <c r="G28" t="s">
        <v>158</v>
      </c>
      <c r="H28" t="s">
        <v>159</v>
      </c>
      <c r="I28" t="s">
        <v>160</v>
      </c>
      <c r="J28" t="s">
        <v>2137</v>
      </c>
      <c r="K28" t="s">
        <v>2112</v>
      </c>
      <c r="L28" t="s">
        <v>161</v>
      </c>
      <c r="M28" t="s">
        <v>18</v>
      </c>
      <c r="N28" t="b">
        <v>1</v>
      </c>
      <c r="O28" t="b">
        <v>1</v>
      </c>
      <c r="P28" t="b">
        <v>0</v>
      </c>
    </row>
    <row r="29" spans="1:16" x14ac:dyDescent="0.45">
      <c r="A29" t="s">
        <v>1790</v>
      </c>
      <c r="B29" t="b">
        <f>IF(A29="WDS", COUNTIF($D:$D, D29) &gt; 1, "")</f>
        <v>0</v>
      </c>
      <c r="C29" s="1">
        <v>106257254</v>
      </c>
      <c r="D29" t="s">
        <v>162</v>
      </c>
      <c r="E29" t="s">
        <v>21</v>
      </c>
      <c r="F29" t="s">
        <v>163</v>
      </c>
      <c r="G29" t="s">
        <v>164</v>
      </c>
      <c r="H29" t="s">
        <v>165</v>
      </c>
      <c r="I29" t="s">
        <v>166</v>
      </c>
      <c r="J29" t="s">
        <v>2138</v>
      </c>
      <c r="K29" t="s">
        <v>2112</v>
      </c>
      <c r="L29" t="s">
        <v>167</v>
      </c>
      <c r="M29" t="s">
        <v>18</v>
      </c>
      <c r="N29" t="b">
        <v>1</v>
      </c>
      <c r="O29" t="b">
        <v>1</v>
      </c>
      <c r="P29" t="b">
        <v>0</v>
      </c>
    </row>
    <row r="30" spans="1:16" x14ac:dyDescent="0.45">
      <c r="A30" t="s">
        <v>1790</v>
      </c>
      <c r="B30" t="b">
        <f>IF(A30="WDS", COUNTIF($D:$D, D30) &gt; 1, "")</f>
        <v>0</v>
      </c>
      <c r="C30" s="1">
        <v>106195748</v>
      </c>
      <c r="D30" t="s">
        <v>168</v>
      </c>
      <c r="E30" t="s">
        <v>21</v>
      </c>
      <c r="F30" t="s">
        <v>169</v>
      </c>
      <c r="G30" t="s">
        <v>42</v>
      </c>
      <c r="H30" t="s">
        <v>170</v>
      </c>
      <c r="I30" t="s">
        <v>171</v>
      </c>
      <c r="J30" t="s">
        <v>2139</v>
      </c>
      <c r="K30" t="s">
        <v>2112</v>
      </c>
      <c r="L30" t="s">
        <v>172</v>
      </c>
      <c r="M30" t="s">
        <v>18</v>
      </c>
      <c r="N30" t="b">
        <v>1</v>
      </c>
      <c r="O30" t="b">
        <v>1</v>
      </c>
      <c r="P30" t="b">
        <v>0</v>
      </c>
    </row>
    <row r="31" spans="1:16" x14ac:dyDescent="0.45">
      <c r="A31" t="s">
        <v>1790</v>
      </c>
      <c r="B31" t="b">
        <f>IF(A31="WDS", COUNTIF($D:$D, D31) &gt; 1, "")</f>
        <v>0</v>
      </c>
      <c r="C31" s="1">
        <v>106146369</v>
      </c>
      <c r="D31" t="s">
        <v>173</v>
      </c>
      <c r="E31" t="s">
        <v>21</v>
      </c>
      <c r="F31" t="s">
        <v>174</v>
      </c>
      <c r="G31" t="s">
        <v>175</v>
      </c>
      <c r="H31" t="s">
        <v>176</v>
      </c>
      <c r="I31" t="s">
        <v>177</v>
      </c>
      <c r="J31" t="s">
        <v>2140</v>
      </c>
      <c r="K31" t="s">
        <v>2141</v>
      </c>
      <c r="L31" t="s">
        <v>178</v>
      </c>
      <c r="M31" t="s">
        <v>179</v>
      </c>
      <c r="N31" t="b">
        <v>1</v>
      </c>
      <c r="O31" t="b">
        <v>1</v>
      </c>
      <c r="P31" t="b">
        <v>0</v>
      </c>
    </row>
    <row r="32" spans="1:16" x14ac:dyDescent="0.45">
      <c r="A32" t="s">
        <v>1790</v>
      </c>
      <c r="B32" t="b">
        <f>IF(A32="WDS", COUNTIF($D:$D, D32) &gt; 1, "")</f>
        <v>0</v>
      </c>
      <c r="C32" s="1">
        <v>106083428</v>
      </c>
      <c r="D32" t="s">
        <v>180</v>
      </c>
      <c r="E32" t="s">
        <v>21</v>
      </c>
      <c r="F32" t="s">
        <v>181</v>
      </c>
      <c r="G32" t="s">
        <v>182</v>
      </c>
      <c r="H32" t="s">
        <v>183</v>
      </c>
      <c r="I32" t="s">
        <v>184</v>
      </c>
      <c r="J32" t="s">
        <v>2142</v>
      </c>
      <c r="K32" t="s">
        <v>2142</v>
      </c>
      <c r="L32" t="s">
        <v>185</v>
      </c>
      <c r="M32" t="s">
        <v>185</v>
      </c>
      <c r="N32" t="b">
        <v>1</v>
      </c>
      <c r="O32" t="b">
        <v>1</v>
      </c>
      <c r="P32" t="b">
        <v>0</v>
      </c>
    </row>
    <row r="33" spans="1:16" x14ac:dyDescent="0.45">
      <c r="A33" t="s">
        <v>1790</v>
      </c>
      <c r="B33" t="b">
        <f>IF(A33="WDS", COUNTIF($D:$D, D33) &gt; 1, "")</f>
        <v>0</v>
      </c>
      <c r="C33" s="1">
        <v>106083151</v>
      </c>
      <c r="D33" t="s">
        <v>186</v>
      </c>
      <c r="E33" t="s">
        <v>21</v>
      </c>
      <c r="F33" t="s">
        <v>187</v>
      </c>
      <c r="G33" t="s">
        <v>188</v>
      </c>
      <c r="H33" t="s">
        <v>189</v>
      </c>
      <c r="I33" t="s">
        <v>190</v>
      </c>
      <c r="J33" t="s">
        <v>2143</v>
      </c>
      <c r="K33" t="s">
        <v>2144</v>
      </c>
      <c r="L33" t="s">
        <v>191</v>
      </c>
      <c r="M33" t="s">
        <v>192</v>
      </c>
      <c r="N33" t="b">
        <v>1</v>
      </c>
      <c r="O33" t="b">
        <v>1</v>
      </c>
      <c r="P33" t="b">
        <v>0</v>
      </c>
    </row>
    <row r="34" spans="1:16" x14ac:dyDescent="0.45">
      <c r="A34" t="s">
        <v>1790</v>
      </c>
      <c r="B34" t="b">
        <f>IF(A34="WDS", COUNTIF($D:$D, D34) &gt; 1, "")</f>
        <v>1</v>
      </c>
      <c r="C34" s="1">
        <v>106053780</v>
      </c>
      <c r="D34" t="s">
        <v>193</v>
      </c>
      <c r="E34" t="s">
        <v>21</v>
      </c>
      <c r="F34" t="s">
        <v>194</v>
      </c>
      <c r="G34" t="s">
        <v>195</v>
      </c>
      <c r="H34" t="s">
        <v>196</v>
      </c>
      <c r="I34" t="s">
        <v>197</v>
      </c>
      <c r="J34" t="s">
        <v>2145</v>
      </c>
      <c r="K34" t="s">
        <v>2112</v>
      </c>
      <c r="L34" t="s">
        <v>198</v>
      </c>
      <c r="M34" t="s">
        <v>18</v>
      </c>
      <c r="N34" t="b">
        <v>1</v>
      </c>
      <c r="O34" t="b">
        <v>1</v>
      </c>
      <c r="P34" t="b">
        <v>0</v>
      </c>
    </row>
    <row r="35" spans="1:16" x14ac:dyDescent="0.45">
      <c r="A35" t="s">
        <v>1790</v>
      </c>
      <c r="B35" t="b">
        <f>IF(A35="WDS", COUNTIF($D:$D, D35) &gt; 1, "")</f>
        <v>0</v>
      </c>
      <c r="C35" s="1">
        <v>106045113</v>
      </c>
      <c r="D35" t="s">
        <v>199</v>
      </c>
      <c r="E35" t="s">
        <v>21</v>
      </c>
      <c r="F35" t="s">
        <v>200</v>
      </c>
      <c r="G35" t="s">
        <v>201</v>
      </c>
      <c r="H35" t="s">
        <v>202</v>
      </c>
      <c r="I35" t="s">
        <v>203</v>
      </c>
      <c r="J35" t="s">
        <v>2146</v>
      </c>
      <c r="K35" t="s">
        <v>2112</v>
      </c>
      <c r="L35" t="s">
        <v>204</v>
      </c>
      <c r="M35" t="s">
        <v>18</v>
      </c>
      <c r="N35" t="b">
        <v>1</v>
      </c>
      <c r="O35" t="b">
        <v>1</v>
      </c>
      <c r="P35" t="b">
        <v>0</v>
      </c>
    </row>
    <row r="36" spans="1:16" x14ac:dyDescent="0.45">
      <c r="A36" t="s">
        <v>1790</v>
      </c>
      <c r="B36" t="b">
        <f>IF(A36="WDS", COUNTIF($D:$D, D36) &gt; 1, "")</f>
        <v>0</v>
      </c>
      <c r="C36" s="1">
        <v>106007109</v>
      </c>
      <c r="D36" t="s">
        <v>205</v>
      </c>
      <c r="E36" t="s">
        <v>21</v>
      </c>
      <c r="F36" t="s">
        <v>206</v>
      </c>
      <c r="G36" t="s">
        <v>207</v>
      </c>
      <c r="H36" t="s">
        <v>208</v>
      </c>
      <c r="I36" t="s">
        <v>209</v>
      </c>
      <c r="J36" t="s">
        <v>2147</v>
      </c>
      <c r="K36" t="s">
        <v>2112</v>
      </c>
      <c r="L36" t="s">
        <v>210</v>
      </c>
      <c r="M36" t="s">
        <v>18</v>
      </c>
      <c r="N36" t="b">
        <v>1</v>
      </c>
      <c r="O36" t="b">
        <v>1</v>
      </c>
      <c r="P36" t="b">
        <v>0</v>
      </c>
    </row>
    <row r="37" spans="1:16" x14ac:dyDescent="0.45">
      <c r="A37" t="s">
        <v>1790</v>
      </c>
      <c r="B37" t="b">
        <f>IF(A37="WDS", COUNTIF($D:$D, D37) &gt; 1, "")</f>
        <v>0</v>
      </c>
      <c r="C37" s="1">
        <v>105953144</v>
      </c>
      <c r="D37" t="s">
        <v>211</v>
      </c>
      <c r="E37" t="s">
        <v>21</v>
      </c>
      <c r="F37" t="s">
        <v>212</v>
      </c>
      <c r="G37" t="s">
        <v>213</v>
      </c>
      <c r="H37" t="s">
        <v>214</v>
      </c>
      <c r="I37" t="s">
        <v>215</v>
      </c>
      <c r="J37" t="s">
        <v>2148</v>
      </c>
      <c r="K37" t="s">
        <v>2148</v>
      </c>
      <c r="L37" t="s">
        <v>216</v>
      </c>
      <c r="M37" t="s">
        <v>216</v>
      </c>
      <c r="N37" t="b">
        <v>1</v>
      </c>
      <c r="O37" t="b">
        <v>1</v>
      </c>
      <c r="P37" t="b">
        <v>0</v>
      </c>
    </row>
    <row r="38" spans="1:16" x14ac:dyDescent="0.45">
      <c r="A38" t="s">
        <v>1790</v>
      </c>
      <c r="B38" t="b">
        <f>IF(A38="WDS", COUNTIF($D:$D, D38) &gt; 1, "")</f>
        <v>0</v>
      </c>
      <c r="C38" s="1">
        <v>105932216</v>
      </c>
      <c r="D38" t="s">
        <v>217</v>
      </c>
      <c r="E38" t="s">
        <v>21</v>
      </c>
      <c r="F38" t="s">
        <v>218</v>
      </c>
      <c r="G38" t="s">
        <v>219</v>
      </c>
      <c r="H38" t="s">
        <v>220</v>
      </c>
      <c r="I38" t="s">
        <v>221</v>
      </c>
      <c r="J38" t="s">
        <v>2149</v>
      </c>
      <c r="K38" t="s">
        <v>2112</v>
      </c>
      <c r="L38" t="s">
        <v>222</v>
      </c>
      <c r="M38" t="s">
        <v>18</v>
      </c>
      <c r="N38" t="b">
        <v>1</v>
      </c>
      <c r="O38" t="b">
        <v>1</v>
      </c>
      <c r="P38" t="b">
        <v>0</v>
      </c>
    </row>
    <row r="39" spans="1:16" x14ac:dyDescent="0.45">
      <c r="A39" t="s">
        <v>1790</v>
      </c>
      <c r="B39" t="b">
        <f>IF(A39="WDS", COUNTIF($D:$D, D39) &gt; 1, "")</f>
        <v>0</v>
      </c>
      <c r="C39" s="1">
        <v>105919032</v>
      </c>
      <c r="D39" t="s">
        <v>223</v>
      </c>
      <c r="E39" t="s">
        <v>21</v>
      </c>
      <c r="F39" t="s">
        <v>145</v>
      </c>
      <c r="G39" t="s">
        <v>146</v>
      </c>
      <c r="H39" t="s">
        <v>224</v>
      </c>
      <c r="I39" t="s">
        <v>225</v>
      </c>
      <c r="J39" t="s">
        <v>2135</v>
      </c>
      <c r="K39" t="s">
        <v>2112</v>
      </c>
      <c r="L39" t="s">
        <v>149</v>
      </c>
      <c r="M39" t="s">
        <v>18</v>
      </c>
      <c r="N39" t="b">
        <v>1</v>
      </c>
      <c r="O39" t="b">
        <v>1</v>
      </c>
      <c r="P39" t="b">
        <v>0</v>
      </c>
    </row>
    <row r="40" spans="1:16" x14ac:dyDescent="0.45">
      <c r="A40" t="s">
        <v>1790</v>
      </c>
      <c r="B40" t="b">
        <f>IF(A40="WDS", COUNTIF($D:$D, D40) &gt; 1, "")</f>
        <v>0</v>
      </c>
      <c r="C40" s="1">
        <v>105901872</v>
      </c>
      <c r="D40" t="s">
        <v>226</v>
      </c>
      <c r="E40" t="s">
        <v>21</v>
      </c>
      <c r="F40" t="s">
        <v>227</v>
      </c>
      <c r="G40" t="s">
        <v>228</v>
      </c>
      <c r="H40" t="s">
        <v>229</v>
      </c>
      <c r="I40" t="s">
        <v>230</v>
      </c>
      <c r="J40" t="s">
        <v>2150</v>
      </c>
      <c r="K40" t="s">
        <v>2112</v>
      </c>
      <c r="L40" t="s">
        <v>231</v>
      </c>
      <c r="M40" t="s">
        <v>18</v>
      </c>
      <c r="N40" t="b">
        <v>1</v>
      </c>
      <c r="O40" t="b">
        <v>1</v>
      </c>
      <c r="P40" t="b">
        <v>0</v>
      </c>
    </row>
    <row r="41" spans="1:16" x14ac:dyDescent="0.45">
      <c r="A41" t="s">
        <v>1790</v>
      </c>
      <c r="B41" t="b">
        <f>IF(A41="WDS", COUNTIF($D:$D, D41) &gt; 1, "")</f>
        <v>0</v>
      </c>
      <c r="C41" s="1">
        <v>105855271</v>
      </c>
      <c r="D41" t="s">
        <v>232</v>
      </c>
      <c r="E41" t="s">
        <v>21</v>
      </c>
      <c r="F41" t="s">
        <v>233</v>
      </c>
      <c r="G41" t="s">
        <v>234</v>
      </c>
      <c r="H41" t="s">
        <v>235</v>
      </c>
      <c r="I41" t="s">
        <v>236</v>
      </c>
      <c r="J41" t="s">
        <v>2151</v>
      </c>
      <c r="K41" t="s">
        <v>2112</v>
      </c>
      <c r="L41" t="s">
        <v>237</v>
      </c>
      <c r="M41" t="s">
        <v>18</v>
      </c>
      <c r="N41" t="b">
        <v>1</v>
      </c>
      <c r="O41" t="b">
        <v>1</v>
      </c>
      <c r="P41" t="b">
        <v>0</v>
      </c>
    </row>
    <row r="42" spans="1:16" x14ac:dyDescent="0.45">
      <c r="A42" t="s">
        <v>1790</v>
      </c>
      <c r="B42" t="b">
        <f>IF(A42="WDS", COUNTIF($D:$D, D42) &gt; 1, "")</f>
        <v>0</v>
      </c>
      <c r="C42" s="1">
        <v>105807773</v>
      </c>
      <c r="D42" t="s">
        <v>238</v>
      </c>
      <c r="E42" t="s">
        <v>21</v>
      </c>
      <c r="F42" t="s">
        <v>239</v>
      </c>
      <c r="G42" t="s">
        <v>228</v>
      </c>
      <c r="H42" t="s">
        <v>240</v>
      </c>
      <c r="I42" t="s">
        <v>241</v>
      </c>
      <c r="J42" t="s">
        <v>2152</v>
      </c>
      <c r="K42" t="s">
        <v>2112</v>
      </c>
      <c r="L42" t="s">
        <v>242</v>
      </c>
      <c r="M42" t="s">
        <v>18</v>
      </c>
      <c r="N42" t="b">
        <v>1</v>
      </c>
      <c r="O42" t="b">
        <v>1</v>
      </c>
      <c r="P42" t="b">
        <v>0</v>
      </c>
    </row>
    <row r="43" spans="1:16" x14ac:dyDescent="0.45">
      <c r="A43" t="s">
        <v>1790</v>
      </c>
      <c r="B43" t="b">
        <f>IF(A43="WDS", COUNTIF($D:$D, D43) &gt; 1, "")</f>
        <v>0</v>
      </c>
      <c r="C43" s="1">
        <v>105784489</v>
      </c>
      <c r="D43" t="s">
        <v>243</v>
      </c>
      <c r="E43" t="s">
        <v>21</v>
      </c>
      <c r="F43" t="s">
        <v>244</v>
      </c>
      <c r="G43" t="s">
        <v>245</v>
      </c>
      <c r="H43" t="s">
        <v>246</v>
      </c>
      <c r="I43" t="s">
        <v>247</v>
      </c>
      <c r="J43" t="s">
        <v>2153</v>
      </c>
      <c r="K43" t="s">
        <v>2112</v>
      </c>
      <c r="L43" t="s">
        <v>248</v>
      </c>
      <c r="M43" t="s">
        <v>18</v>
      </c>
      <c r="N43" t="b">
        <v>1</v>
      </c>
      <c r="O43" t="b">
        <v>1</v>
      </c>
      <c r="P43" t="b">
        <v>0</v>
      </c>
    </row>
    <row r="44" spans="1:16" x14ac:dyDescent="0.45">
      <c r="A44" t="s">
        <v>1790</v>
      </c>
      <c r="B44" t="b">
        <f>IF(A44="WDS", COUNTIF($D:$D, D44) &gt; 1, "")</f>
        <v>1</v>
      </c>
      <c r="C44" s="1">
        <v>105748545</v>
      </c>
      <c r="D44" t="s">
        <v>249</v>
      </c>
      <c r="E44" t="s">
        <v>21</v>
      </c>
      <c r="F44" t="s">
        <v>250</v>
      </c>
      <c r="G44" t="s">
        <v>251</v>
      </c>
      <c r="H44" t="s">
        <v>252</v>
      </c>
      <c r="I44" t="s">
        <v>253</v>
      </c>
      <c r="J44" t="s">
        <v>2154</v>
      </c>
      <c r="K44" t="s">
        <v>2112</v>
      </c>
      <c r="L44" t="s">
        <v>254</v>
      </c>
      <c r="M44" t="s">
        <v>18</v>
      </c>
      <c r="N44" t="b">
        <v>1</v>
      </c>
      <c r="O44" t="b">
        <v>1</v>
      </c>
      <c r="P44" t="b">
        <v>0</v>
      </c>
    </row>
    <row r="45" spans="1:16" x14ac:dyDescent="0.45">
      <c r="A45" t="s">
        <v>1790</v>
      </c>
      <c r="B45" t="b">
        <f>IF(A45="WDS", COUNTIF($D:$D, D45) &gt; 1, "")</f>
        <v>1</v>
      </c>
      <c r="C45" s="1">
        <v>105748537</v>
      </c>
      <c r="D45" t="s">
        <v>249</v>
      </c>
      <c r="E45" t="s">
        <v>21</v>
      </c>
      <c r="F45" t="s">
        <v>250</v>
      </c>
      <c r="G45" t="s">
        <v>251</v>
      </c>
      <c r="H45" t="s">
        <v>252</v>
      </c>
      <c r="I45" t="s">
        <v>253</v>
      </c>
      <c r="J45" t="s">
        <v>2154</v>
      </c>
      <c r="K45" t="s">
        <v>2112</v>
      </c>
      <c r="L45" t="s">
        <v>254</v>
      </c>
      <c r="M45" t="s">
        <v>18</v>
      </c>
      <c r="N45" t="b">
        <v>1</v>
      </c>
      <c r="O45" t="b">
        <v>1</v>
      </c>
      <c r="P45" t="b">
        <v>0</v>
      </c>
    </row>
    <row r="46" spans="1:16" x14ac:dyDescent="0.45">
      <c r="A46" t="s">
        <v>1790</v>
      </c>
      <c r="B46" t="b">
        <f>IF(A46="WDS", COUNTIF($D:$D, D46) &gt; 1, "")</f>
        <v>1</v>
      </c>
      <c r="C46" s="1">
        <v>105738802</v>
      </c>
      <c r="D46" t="s">
        <v>255</v>
      </c>
      <c r="E46" t="s">
        <v>21</v>
      </c>
      <c r="F46" t="s">
        <v>256</v>
      </c>
      <c r="G46" t="s">
        <v>257</v>
      </c>
      <c r="H46" t="s">
        <v>258</v>
      </c>
      <c r="I46" t="s">
        <v>259</v>
      </c>
      <c r="J46" t="s">
        <v>2155</v>
      </c>
      <c r="K46" t="s">
        <v>2112</v>
      </c>
      <c r="L46" t="s">
        <v>260</v>
      </c>
      <c r="M46" t="s">
        <v>18</v>
      </c>
      <c r="N46" t="b">
        <v>1</v>
      </c>
      <c r="O46" t="b">
        <v>1</v>
      </c>
      <c r="P46" t="b">
        <v>0</v>
      </c>
    </row>
    <row r="47" spans="1:16" x14ac:dyDescent="0.45">
      <c r="A47" t="s">
        <v>1790</v>
      </c>
      <c r="B47" t="b">
        <f>IF(A47="WDS", COUNTIF($D:$D, D47) &gt; 1, "")</f>
        <v>1</v>
      </c>
      <c r="C47" s="1">
        <v>105738789</v>
      </c>
      <c r="D47" t="s">
        <v>255</v>
      </c>
      <c r="E47" t="s">
        <v>21</v>
      </c>
      <c r="F47" t="s">
        <v>256</v>
      </c>
      <c r="G47" t="s">
        <v>257</v>
      </c>
      <c r="H47" t="s">
        <v>258</v>
      </c>
      <c r="I47" t="s">
        <v>259</v>
      </c>
      <c r="J47" t="s">
        <v>2155</v>
      </c>
      <c r="K47" t="s">
        <v>2112</v>
      </c>
      <c r="L47" t="s">
        <v>260</v>
      </c>
      <c r="M47" t="s">
        <v>18</v>
      </c>
      <c r="N47" t="b">
        <v>1</v>
      </c>
      <c r="O47" t="b">
        <v>1</v>
      </c>
      <c r="P47" t="b">
        <v>0</v>
      </c>
    </row>
    <row r="48" spans="1:16" x14ac:dyDescent="0.45">
      <c r="A48" t="s">
        <v>1790</v>
      </c>
      <c r="B48" t="b">
        <f>IF(A48="WDS", COUNTIF($D:$D, D48) &gt; 1, "")</f>
        <v>1</v>
      </c>
      <c r="C48" s="1">
        <v>105729177</v>
      </c>
      <c r="D48" t="s">
        <v>261</v>
      </c>
      <c r="E48" t="s">
        <v>21</v>
      </c>
      <c r="F48" t="s">
        <v>262</v>
      </c>
      <c r="G48" t="s">
        <v>263</v>
      </c>
      <c r="H48" t="s">
        <v>264</v>
      </c>
      <c r="I48" t="s">
        <v>265</v>
      </c>
      <c r="J48" t="s">
        <v>2156</v>
      </c>
      <c r="K48" t="s">
        <v>2112</v>
      </c>
      <c r="L48" t="s">
        <v>266</v>
      </c>
      <c r="M48" t="s">
        <v>18</v>
      </c>
      <c r="N48" t="b">
        <v>1</v>
      </c>
      <c r="O48" t="b">
        <v>1</v>
      </c>
      <c r="P48" t="b">
        <v>0</v>
      </c>
    </row>
    <row r="49" spans="1:16" x14ac:dyDescent="0.45">
      <c r="A49" t="s">
        <v>1790</v>
      </c>
      <c r="B49" t="b">
        <f>IF(A49="WDS", COUNTIF($D:$D, D49) &gt; 1, "")</f>
        <v>1</v>
      </c>
      <c r="C49" s="1">
        <v>105729170</v>
      </c>
      <c r="D49" t="s">
        <v>261</v>
      </c>
      <c r="E49" t="s">
        <v>21</v>
      </c>
      <c r="F49" t="s">
        <v>262</v>
      </c>
      <c r="G49" t="s">
        <v>263</v>
      </c>
      <c r="H49" t="s">
        <v>267</v>
      </c>
      <c r="I49" t="s">
        <v>268</v>
      </c>
      <c r="J49" t="s">
        <v>2156</v>
      </c>
      <c r="K49" t="s">
        <v>2112</v>
      </c>
      <c r="L49" t="s">
        <v>266</v>
      </c>
      <c r="M49" t="s">
        <v>18</v>
      </c>
      <c r="N49" t="b">
        <v>1</v>
      </c>
      <c r="O49" t="b">
        <v>1</v>
      </c>
      <c r="P49" t="b">
        <v>0</v>
      </c>
    </row>
    <row r="50" spans="1:16" x14ac:dyDescent="0.45">
      <c r="A50" t="s">
        <v>1790</v>
      </c>
      <c r="B50" t="b">
        <f>IF(A50="WDS", COUNTIF($D:$D, D50) &gt; 1, "")</f>
        <v>0</v>
      </c>
      <c r="C50" s="1">
        <v>105709715</v>
      </c>
      <c r="D50" t="s">
        <v>269</v>
      </c>
      <c r="E50" t="s">
        <v>21</v>
      </c>
      <c r="F50" t="s">
        <v>270</v>
      </c>
      <c r="G50" t="s">
        <v>271</v>
      </c>
      <c r="H50" t="s">
        <v>272</v>
      </c>
      <c r="I50" t="s">
        <v>273</v>
      </c>
      <c r="J50" t="s">
        <v>2157</v>
      </c>
      <c r="K50" t="s">
        <v>2157</v>
      </c>
      <c r="L50" t="s">
        <v>274</v>
      </c>
      <c r="M50" t="s">
        <v>274</v>
      </c>
      <c r="N50" t="b">
        <v>1</v>
      </c>
      <c r="O50" t="b">
        <v>1</v>
      </c>
      <c r="P50" t="b">
        <v>0</v>
      </c>
    </row>
    <row r="51" spans="1:16" x14ac:dyDescent="0.45">
      <c r="A51" t="s">
        <v>1790</v>
      </c>
      <c r="B51" t="b">
        <f>IF(A51="WDS", COUNTIF($D:$D, D51) &gt; 1, "")</f>
        <v>0</v>
      </c>
      <c r="C51" s="1">
        <v>105653084</v>
      </c>
      <c r="D51" t="s">
        <v>275</v>
      </c>
      <c r="E51" t="s">
        <v>21</v>
      </c>
      <c r="F51" t="s">
        <v>276</v>
      </c>
      <c r="G51" t="s">
        <v>277</v>
      </c>
      <c r="H51" t="s">
        <v>278</v>
      </c>
      <c r="I51" t="s">
        <v>279</v>
      </c>
      <c r="J51" t="s">
        <v>2158</v>
      </c>
      <c r="K51" t="s">
        <v>2112</v>
      </c>
      <c r="L51" t="s">
        <v>280</v>
      </c>
      <c r="M51" t="s">
        <v>18</v>
      </c>
      <c r="N51" t="b">
        <v>1</v>
      </c>
      <c r="O51" t="b">
        <v>1</v>
      </c>
      <c r="P51" t="b">
        <v>0</v>
      </c>
    </row>
    <row r="52" spans="1:16" x14ac:dyDescent="0.45">
      <c r="A52" t="s">
        <v>1790</v>
      </c>
      <c r="B52" t="b">
        <f>IF(A52="WDS", COUNTIF($D:$D, D52) &gt; 1, "")</f>
        <v>0</v>
      </c>
      <c r="C52" s="1">
        <v>105613769</v>
      </c>
      <c r="D52" t="s">
        <v>281</v>
      </c>
      <c r="E52" t="s">
        <v>21</v>
      </c>
      <c r="F52" t="s">
        <v>282</v>
      </c>
      <c r="G52" t="s">
        <v>283</v>
      </c>
      <c r="H52" t="s">
        <v>284</v>
      </c>
      <c r="I52" t="s">
        <v>285</v>
      </c>
      <c r="J52" t="s">
        <v>2112</v>
      </c>
      <c r="K52" t="s">
        <v>2159</v>
      </c>
      <c r="L52" t="s">
        <v>18</v>
      </c>
      <c r="M52" t="s">
        <v>286</v>
      </c>
      <c r="N52" t="b">
        <v>1</v>
      </c>
      <c r="O52" t="b">
        <v>1</v>
      </c>
      <c r="P52" t="b">
        <v>0</v>
      </c>
    </row>
    <row r="53" spans="1:16" x14ac:dyDescent="0.45">
      <c r="A53" t="s">
        <v>1790</v>
      </c>
      <c r="B53" t="b">
        <f>IF(A53="WDS", COUNTIF($D:$D, D53) &gt; 1, "")</f>
        <v>0</v>
      </c>
      <c r="C53" s="1">
        <v>105609435</v>
      </c>
      <c r="D53" t="s">
        <v>287</v>
      </c>
      <c r="E53" t="s">
        <v>21</v>
      </c>
      <c r="F53" t="s">
        <v>288</v>
      </c>
      <c r="G53" t="s">
        <v>289</v>
      </c>
      <c r="H53" t="s">
        <v>290</v>
      </c>
      <c r="I53" t="s">
        <v>291</v>
      </c>
      <c r="J53" t="s">
        <v>2160</v>
      </c>
      <c r="K53" t="s">
        <v>2112</v>
      </c>
      <c r="L53" t="s">
        <v>292</v>
      </c>
      <c r="M53" t="s">
        <v>18</v>
      </c>
      <c r="N53" t="b">
        <v>1</v>
      </c>
      <c r="O53" t="b">
        <v>1</v>
      </c>
      <c r="P53" t="b">
        <v>0</v>
      </c>
    </row>
    <row r="54" spans="1:16" x14ac:dyDescent="0.45">
      <c r="A54" t="s">
        <v>1790</v>
      </c>
      <c r="B54" t="b">
        <f>IF(A54="WDS", COUNTIF($D:$D, D54) &gt; 1, "")</f>
        <v>0</v>
      </c>
      <c r="C54" s="1">
        <v>105592611</v>
      </c>
      <c r="D54" t="s">
        <v>293</v>
      </c>
      <c r="E54" t="s">
        <v>21</v>
      </c>
      <c r="F54" t="s">
        <v>294</v>
      </c>
      <c r="G54" t="s">
        <v>42</v>
      </c>
      <c r="H54" t="s">
        <v>295</v>
      </c>
      <c r="I54" t="s">
        <v>296</v>
      </c>
      <c r="J54" t="s">
        <v>2161</v>
      </c>
      <c r="K54" t="s">
        <v>2112</v>
      </c>
      <c r="L54" t="s">
        <v>297</v>
      </c>
      <c r="M54" t="s">
        <v>18</v>
      </c>
      <c r="N54" t="b">
        <v>1</v>
      </c>
      <c r="O54" t="b">
        <v>1</v>
      </c>
      <c r="P54" t="b">
        <v>0</v>
      </c>
    </row>
    <row r="55" spans="1:16" x14ac:dyDescent="0.45">
      <c r="A55" t="s">
        <v>1790</v>
      </c>
      <c r="B55" t="b">
        <f>IF(A55="WDS", COUNTIF($D:$D, D55) &gt; 1, "")</f>
        <v>0</v>
      </c>
      <c r="C55" s="1">
        <v>105588791</v>
      </c>
      <c r="D55" t="s">
        <v>298</v>
      </c>
      <c r="E55" t="s">
        <v>21</v>
      </c>
      <c r="F55" t="s">
        <v>299</v>
      </c>
      <c r="G55" t="s">
        <v>300</v>
      </c>
      <c r="H55" t="s">
        <v>301</v>
      </c>
      <c r="I55" t="s">
        <v>302</v>
      </c>
      <c r="J55" t="s">
        <v>2162</v>
      </c>
      <c r="K55" t="s">
        <v>2112</v>
      </c>
      <c r="L55" t="s">
        <v>303</v>
      </c>
      <c r="M55" t="s">
        <v>18</v>
      </c>
      <c r="N55" t="b">
        <v>1</v>
      </c>
      <c r="O55" t="b">
        <v>1</v>
      </c>
      <c r="P55" t="b">
        <v>0</v>
      </c>
    </row>
    <row r="56" spans="1:16" x14ac:dyDescent="0.45">
      <c r="A56" t="s">
        <v>1790</v>
      </c>
      <c r="B56" t="b">
        <f>IF(A56="WDS", COUNTIF($D:$D, D56) &gt; 1, "")</f>
        <v>0</v>
      </c>
      <c r="C56" s="1">
        <v>105572387</v>
      </c>
      <c r="D56" t="s">
        <v>304</v>
      </c>
      <c r="E56" t="s">
        <v>21</v>
      </c>
      <c r="F56" t="s">
        <v>305</v>
      </c>
      <c r="G56" t="s">
        <v>306</v>
      </c>
      <c r="H56" t="s">
        <v>307</v>
      </c>
      <c r="I56" t="s">
        <v>308</v>
      </c>
      <c r="J56" t="s">
        <v>2163</v>
      </c>
      <c r="K56" t="s">
        <v>2112</v>
      </c>
      <c r="L56" t="s">
        <v>309</v>
      </c>
      <c r="M56" t="s">
        <v>18</v>
      </c>
      <c r="N56" t="b">
        <v>1</v>
      </c>
      <c r="O56" t="b">
        <v>1</v>
      </c>
      <c r="P56" t="b">
        <v>0</v>
      </c>
    </row>
    <row r="57" spans="1:16" x14ac:dyDescent="0.45">
      <c r="A57" t="s">
        <v>1790</v>
      </c>
      <c r="B57" t="b">
        <f>IF(A57="WDS", COUNTIF($D:$D, D57) &gt; 1, "")</f>
        <v>0</v>
      </c>
      <c r="C57" s="1">
        <v>105531601</v>
      </c>
      <c r="D57" t="s">
        <v>310</v>
      </c>
      <c r="E57" t="s">
        <v>21</v>
      </c>
      <c r="F57" t="s">
        <v>83</v>
      </c>
      <c r="G57" t="s">
        <v>311</v>
      </c>
      <c r="H57" t="s">
        <v>312</v>
      </c>
      <c r="I57" t="s">
        <v>313</v>
      </c>
      <c r="J57" t="s">
        <v>2164</v>
      </c>
      <c r="K57" t="s">
        <v>2112</v>
      </c>
      <c r="L57" t="s">
        <v>314</v>
      </c>
      <c r="M57" t="s">
        <v>18</v>
      </c>
      <c r="N57" t="b">
        <v>1</v>
      </c>
      <c r="O57" t="b">
        <v>1</v>
      </c>
      <c r="P57" t="b">
        <v>0</v>
      </c>
    </row>
    <row r="58" spans="1:16" x14ac:dyDescent="0.45">
      <c r="A58" t="s">
        <v>1790</v>
      </c>
      <c r="B58" t="b">
        <f>IF(A58="WDS", COUNTIF($D:$D, D58) &gt; 1, "")</f>
        <v>0</v>
      </c>
      <c r="C58" s="1">
        <v>105505627</v>
      </c>
      <c r="D58" t="s">
        <v>315</v>
      </c>
      <c r="E58" t="s">
        <v>21</v>
      </c>
      <c r="F58" t="s">
        <v>316</v>
      </c>
      <c r="G58" t="s">
        <v>317</v>
      </c>
      <c r="H58" t="s">
        <v>318</v>
      </c>
      <c r="I58" t="s">
        <v>319</v>
      </c>
      <c r="J58" t="s">
        <v>2165</v>
      </c>
      <c r="K58" t="s">
        <v>2112</v>
      </c>
      <c r="L58" t="s">
        <v>320</v>
      </c>
      <c r="M58" t="s">
        <v>18</v>
      </c>
      <c r="N58" t="b">
        <v>1</v>
      </c>
      <c r="O58" t="b">
        <v>1</v>
      </c>
      <c r="P58" t="b">
        <v>0</v>
      </c>
    </row>
    <row r="59" spans="1:16" x14ac:dyDescent="0.45">
      <c r="A59" t="s">
        <v>1790</v>
      </c>
      <c r="B59" t="b">
        <f>IF(A59="WDS", COUNTIF($D:$D, D59) &gt; 1, "")</f>
        <v>0</v>
      </c>
      <c r="C59" s="1">
        <v>105465270</v>
      </c>
      <c r="D59" t="s">
        <v>321</v>
      </c>
      <c r="E59" t="s">
        <v>21</v>
      </c>
      <c r="F59" t="s">
        <v>322</v>
      </c>
      <c r="G59" t="s">
        <v>72</v>
      </c>
      <c r="H59" t="s">
        <v>323</v>
      </c>
      <c r="I59" t="s">
        <v>324</v>
      </c>
      <c r="J59" t="s">
        <v>2166</v>
      </c>
      <c r="K59" t="s">
        <v>2112</v>
      </c>
      <c r="L59" t="s">
        <v>325</v>
      </c>
      <c r="M59" t="s">
        <v>18</v>
      </c>
      <c r="N59" t="b">
        <v>1</v>
      </c>
      <c r="O59" t="b">
        <v>1</v>
      </c>
      <c r="P59" t="b">
        <v>0</v>
      </c>
    </row>
    <row r="60" spans="1:16" x14ac:dyDescent="0.45">
      <c r="A60" t="s">
        <v>1790</v>
      </c>
      <c r="B60" t="b">
        <f>IF(A60="WDS", COUNTIF($D:$D, D60) &gt; 1, "")</f>
        <v>0</v>
      </c>
      <c r="C60" s="1">
        <v>105455934</v>
      </c>
      <c r="D60" t="s">
        <v>326</v>
      </c>
      <c r="E60" t="s">
        <v>21</v>
      </c>
      <c r="F60" t="s">
        <v>327</v>
      </c>
      <c r="G60" t="s">
        <v>311</v>
      </c>
      <c r="H60" t="s">
        <v>328</v>
      </c>
      <c r="I60" t="s">
        <v>329</v>
      </c>
      <c r="J60" t="s">
        <v>2167</v>
      </c>
      <c r="K60" t="s">
        <v>2112</v>
      </c>
      <c r="L60" t="s">
        <v>330</v>
      </c>
      <c r="M60" t="s">
        <v>18</v>
      </c>
      <c r="N60" t="b">
        <v>1</v>
      </c>
      <c r="O60" t="b">
        <v>1</v>
      </c>
      <c r="P60" t="b">
        <v>0</v>
      </c>
    </row>
    <row r="61" spans="1:16" x14ac:dyDescent="0.45">
      <c r="A61" t="s">
        <v>1790</v>
      </c>
      <c r="B61" t="b">
        <f>IF(A61="WDS", COUNTIF($D:$D, D61) &gt; 1, "")</f>
        <v>0</v>
      </c>
      <c r="C61" s="1">
        <v>105449979</v>
      </c>
      <c r="D61" t="s">
        <v>331</v>
      </c>
      <c r="E61" t="s">
        <v>21</v>
      </c>
      <c r="F61" t="s">
        <v>332</v>
      </c>
      <c r="G61" t="s">
        <v>333</v>
      </c>
      <c r="H61" t="s">
        <v>334</v>
      </c>
      <c r="I61" t="s">
        <v>335</v>
      </c>
      <c r="J61" t="s">
        <v>2168</v>
      </c>
      <c r="K61" t="s">
        <v>2112</v>
      </c>
      <c r="L61" t="s">
        <v>336</v>
      </c>
      <c r="M61" t="s">
        <v>18</v>
      </c>
      <c r="N61" t="b">
        <v>1</v>
      </c>
      <c r="O61" t="b">
        <v>1</v>
      </c>
      <c r="P61" t="b">
        <v>0</v>
      </c>
    </row>
    <row r="62" spans="1:16" x14ac:dyDescent="0.45">
      <c r="A62" t="s">
        <v>1790</v>
      </c>
      <c r="B62" t="b">
        <f>IF(A62="WDS", COUNTIF($D:$D, D62) &gt; 1, "")</f>
        <v>0</v>
      </c>
      <c r="C62" s="1">
        <v>105415135</v>
      </c>
      <c r="D62" t="s">
        <v>337</v>
      </c>
      <c r="E62" t="s">
        <v>21</v>
      </c>
      <c r="F62" t="s">
        <v>338</v>
      </c>
      <c r="G62" t="s">
        <v>339</v>
      </c>
      <c r="H62" t="s">
        <v>340</v>
      </c>
      <c r="I62" t="s">
        <v>341</v>
      </c>
      <c r="J62" t="s">
        <v>2169</v>
      </c>
      <c r="K62" t="s">
        <v>2112</v>
      </c>
      <c r="L62" t="s">
        <v>342</v>
      </c>
      <c r="M62" t="s">
        <v>18</v>
      </c>
      <c r="N62" t="b">
        <v>1</v>
      </c>
      <c r="O62" t="b">
        <v>1</v>
      </c>
      <c r="P62" t="b">
        <v>0</v>
      </c>
    </row>
    <row r="63" spans="1:16" x14ac:dyDescent="0.45">
      <c r="A63" t="s">
        <v>1790</v>
      </c>
      <c r="B63" t="b">
        <f>IF(A63="WDS", COUNTIF($D:$D, D63) &gt; 1, "")</f>
        <v>0</v>
      </c>
      <c r="C63" s="1">
        <v>105396283</v>
      </c>
      <c r="D63" t="s">
        <v>343</v>
      </c>
      <c r="E63" t="s">
        <v>21</v>
      </c>
      <c r="F63" t="s">
        <v>344</v>
      </c>
      <c r="G63" t="s">
        <v>345</v>
      </c>
      <c r="H63" t="s">
        <v>346</v>
      </c>
      <c r="I63" t="s">
        <v>347</v>
      </c>
      <c r="J63" t="s">
        <v>2170</v>
      </c>
      <c r="K63" t="s">
        <v>2112</v>
      </c>
      <c r="L63" t="s">
        <v>348</v>
      </c>
      <c r="M63" t="s">
        <v>18</v>
      </c>
      <c r="N63" t="b">
        <v>1</v>
      </c>
      <c r="O63" t="b">
        <v>1</v>
      </c>
      <c r="P63" t="b">
        <v>0</v>
      </c>
    </row>
    <row r="64" spans="1:16" x14ac:dyDescent="0.45">
      <c r="A64" t="s">
        <v>1790</v>
      </c>
      <c r="B64" t="b">
        <f>IF(A64="WDS", COUNTIF($D:$D, D64) &gt; 1, "")</f>
        <v>0</v>
      </c>
      <c r="C64" s="1">
        <v>105373026</v>
      </c>
      <c r="D64" t="s">
        <v>349</v>
      </c>
      <c r="E64" t="s">
        <v>21</v>
      </c>
      <c r="F64" t="s">
        <v>350</v>
      </c>
      <c r="G64" t="s">
        <v>351</v>
      </c>
      <c r="H64" t="s">
        <v>352</v>
      </c>
      <c r="I64" t="s">
        <v>353</v>
      </c>
      <c r="J64" t="s">
        <v>2171</v>
      </c>
      <c r="K64" t="s">
        <v>2112</v>
      </c>
      <c r="L64" t="s">
        <v>354</v>
      </c>
      <c r="M64" t="s">
        <v>18</v>
      </c>
      <c r="N64" t="b">
        <v>1</v>
      </c>
      <c r="O64" t="b">
        <v>1</v>
      </c>
      <c r="P64" t="b">
        <v>0</v>
      </c>
    </row>
    <row r="65" spans="1:16" x14ac:dyDescent="0.45">
      <c r="A65" t="s">
        <v>1790</v>
      </c>
      <c r="B65" t="b">
        <f>IF(A65="WDS", COUNTIF($D:$D, D65) &gt; 1, "")</f>
        <v>1</v>
      </c>
      <c r="C65" s="1">
        <v>105369055</v>
      </c>
      <c r="D65" t="s">
        <v>355</v>
      </c>
      <c r="E65" t="s">
        <v>21</v>
      </c>
      <c r="F65" t="s">
        <v>356</v>
      </c>
      <c r="G65" t="s">
        <v>251</v>
      </c>
      <c r="H65" t="s">
        <v>357</v>
      </c>
      <c r="I65" t="s">
        <v>358</v>
      </c>
      <c r="J65" t="s">
        <v>2172</v>
      </c>
      <c r="K65" t="s">
        <v>2172</v>
      </c>
      <c r="L65" t="s">
        <v>359</v>
      </c>
      <c r="M65" t="s">
        <v>359</v>
      </c>
      <c r="N65" t="b">
        <v>1</v>
      </c>
      <c r="O65" t="b">
        <v>1</v>
      </c>
      <c r="P65" t="b">
        <v>0</v>
      </c>
    </row>
    <row r="66" spans="1:16" x14ac:dyDescent="0.45">
      <c r="A66" t="s">
        <v>1790</v>
      </c>
      <c r="B66" t="b">
        <f>IF(A66="WDS", COUNTIF($D:$D, D66) &gt; 1, "")</f>
        <v>0</v>
      </c>
      <c r="C66" s="1">
        <v>105365673</v>
      </c>
      <c r="D66" t="s">
        <v>360</v>
      </c>
      <c r="E66" t="s">
        <v>21</v>
      </c>
      <c r="F66" t="s">
        <v>361</v>
      </c>
      <c r="G66" t="s">
        <v>129</v>
      </c>
      <c r="H66" t="s">
        <v>362</v>
      </c>
      <c r="I66" t="s">
        <v>363</v>
      </c>
      <c r="J66" t="s">
        <v>2173</v>
      </c>
      <c r="K66" t="s">
        <v>2112</v>
      </c>
      <c r="L66" t="s">
        <v>364</v>
      </c>
      <c r="M66" t="s">
        <v>18</v>
      </c>
      <c r="N66" t="b">
        <v>1</v>
      </c>
      <c r="O66" t="b">
        <v>1</v>
      </c>
      <c r="P66" t="b">
        <v>0</v>
      </c>
    </row>
    <row r="67" spans="1:16" x14ac:dyDescent="0.45">
      <c r="A67" t="s">
        <v>1790</v>
      </c>
      <c r="B67" t="b">
        <f>IF(A67="WDS", COUNTIF($D:$D, D67) &gt; 1, "")</f>
        <v>0</v>
      </c>
      <c r="C67" s="1">
        <v>105361699</v>
      </c>
      <c r="D67" t="s">
        <v>365</v>
      </c>
      <c r="E67" t="s">
        <v>21</v>
      </c>
      <c r="F67" t="s">
        <v>322</v>
      </c>
      <c r="G67" t="s">
        <v>72</v>
      </c>
      <c r="H67" t="s">
        <v>366</v>
      </c>
      <c r="I67" t="s">
        <v>367</v>
      </c>
      <c r="J67" t="s">
        <v>2174</v>
      </c>
      <c r="K67" t="s">
        <v>2175</v>
      </c>
      <c r="L67" t="s">
        <v>368</v>
      </c>
      <c r="M67" t="s">
        <v>369</v>
      </c>
      <c r="N67" t="b">
        <v>1</v>
      </c>
      <c r="O67" t="b">
        <v>1</v>
      </c>
      <c r="P67" t="b">
        <v>0</v>
      </c>
    </row>
    <row r="68" spans="1:16" x14ac:dyDescent="0.45">
      <c r="A68" t="s">
        <v>1790</v>
      </c>
      <c r="B68" t="b">
        <f>IF(A68="WDS", COUNTIF($D:$D, D68) &gt; 1, "")</f>
        <v>0</v>
      </c>
      <c r="C68" s="1">
        <v>105355813</v>
      </c>
      <c r="D68" t="s">
        <v>370</v>
      </c>
      <c r="E68" t="s">
        <v>21</v>
      </c>
      <c r="F68" t="s">
        <v>371</v>
      </c>
      <c r="G68" t="s">
        <v>372</v>
      </c>
      <c r="H68" t="s">
        <v>373</v>
      </c>
      <c r="I68" t="s">
        <v>374</v>
      </c>
      <c r="J68" t="s">
        <v>2176</v>
      </c>
      <c r="K68" t="s">
        <v>2176</v>
      </c>
      <c r="L68" t="s">
        <v>375</v>
      </c>
      <c r="M68" t="s">
        <v>375</v>
      </c>
      <c r="N68" t="b">
        <v>1</v>
      </c>
      <c r="O68" t="b">
        <v>1</v>
      </c>
      <c r="P68" t="b">
        <v>0</v>
      </c>
    </row>
    <row r="69" spans="1:16" x14ac:dyDescent="0.45">
      <c r="A69" t="s">
        <v>1790</v>
      </c>
      <c r="B69" t="b">
        <f>IF(A69="WDS", COUNTIF($D:$D, D69) &gt; 1, "")</f>
        <v>0</v>
      </c>
      <c r="C69" s="1">
        <v>105331749</v>
      </c>
      <c r="D69" t="s">
        <v>376</v>
      </c>
      <c r="E69" t="s">
        <v>21</v>
      </c>
      <c r="F69" t="s">
        <v>377</v>
      </c>
      <c r="G69" t="s">
        <v>72</v>
      </c>
      <c r="H69" t="s">
        <v>378</v>
      </c>
      <c r="I69" t="s">
        <v>379</v>
      </c>
      <c r="J69" t="s">
        <v>2112</v>
      </c>
      <c r="K69" t="s">
        <v>2112</v>
      </c>
      <c r="L69" t="s">
        <v>18</v>
      </c>
      <c r="M69" t="s">
        <v>18</v>
      </c>
      <c r="N69" t="b">
        <v>1</v>
      </c>
      <c r="O69" t="b">
        <v>1</v>
      </c>
      <c r="P69" t="b">
        <v>0</v>
      </c>
    </row>
    <row r="70" spans="1:16" x14ac:dyDescent="0.45">
      <c r="A70" t="s">
        <v>1790</v>
      </c>
      <c r="B70" t="b">
        <f>IF(A70="WDS", COUNTIF($D:$D, D70) &gt; 1, "")</f>
        <v>0</v>
      </c>
      <c r="C70" s="1">
        <v>105293155</v>
      </c>
      <c r="D70" t="s">
        <v>380</v>
      </c>
      <c r="E70" t="s">
        <v>21</v>
      </c>
      <c r="F70" t="s">
        <v>381</v>
      </c>
      <c r="G70" t="s">
        <v>146</v>
      </c>
      <c r="H70" t="s">
        <v>382</v>
      </c>
      <c r="I70" t="s">
        <v>383</v>
      </c>
      <c r="J70" t="s">
        <v>2112</v>
      </c>
      <c r="K70" t="s">
        <v>2112</v>
      </c>
      <c r="L70" t="s">
        <v>18</v>
      </c>
      <c r="M70" t="s">
        <v>18</v>
      </c>
      <c r="N70" t="b">
        <v>1</v>
      </c>
      <c r="O70" t="b">
        <v>1</v>
      </c>
      <c r="P70" t="b">
        <v>0</v>
      </c>
    </row>
    <row r="71" spans="1:16" x14ac:dyDescent="0.45">
      <c r="A71" t="s">
        <v>1790</v>
      </c>
      <c r="B71" t="b">
        <f>IF(A71="WDS", COUNTIF($D:$D, D71) &gt; 1, "")</f>
        <v>0</v>
      </c>
      <c r="C71" s="1">
        <v>105288498</v>
      </c>
      <c r="D71" t="s">
        <v>384</v>
      </c>
      <c r="E71" t="s">
        <v>21</v>
      </c>
      <c r="F71" t="s">
        <v>385</v>
      </c>
      <c r="G71" t="s">
        <v>201</v>
      </c>
      <c r="H71" t="s">
        <v>386</v>
      </c>
      <c r="I71" t="s">
        <v>387</v>
      </c>
      <c r="J71" t="s">
        <v>2177</v>
      </c>
      <c r="K71" t="s">
        <v>2112</v>
      </c>
      <c r="L71" t="s">
        <v>388</v>
      </c>
      <c r="M71" t="s">
        <v>18</v>
      </c>
      <c r="N71" t="b">
        <v>1</v>
      </c>
      <c r="O71" t="b">
        <v>1</v>
      </c>
      <c r="P71" t="b">
        <v>0</v>
      </c>
    </row>
    <row r="72" spans="1:16" x14ac:dyDescent="0.45">
      <c r="A72" t="s">
        <v>1790</v>
      </c>
      <c r="B72" t="b">
        <f>IF(A72="WDS", COUNTIF($D:$D, D72) &gt; 1, "")</f>
        <v>0</v>
      </c>
      <c r="C72" s="1">
        <v>105283396</v>
      </c>
      <c r="D72" t="s">
        <v>389</v>
      </c>
      <c r="E72" t="s">
        <v>21</v>
      </c>
      <c r="F72" t="s">
        <v>390</v>
      </c>
      <c r="G72" t="s">
        <v>234</v>
      </c>
      <c r="H72" t="s">
        <v>391</v>
      </c>
      <c r="I72" t="s">
        <v>392</v>
      </c>
      <c r="J72" t="s">
        <v>2178</v>
      </c>
      <c r="K72" t="s">
        <v>2112</v>
      </c>
      <c r="L72" t="s">
        <v>393</v>
      </c>
      <c r="M72" t="s">
        <v>18</v>
      </c>
      <c r="N72" t="b">
        <v>1</v>
      </c>
      <c r="O72" t="b">
        <v>1</v>
      </c>
      <c r="P72" t="b">
        <v>0</v>
      </c>
    </row>
    <row r="73" spans="1:16" x14ac:dyDescent="0.45">
      <c r="A73" t="s">
        <v>1790</v>
      </c>
      <c r="B73" t="b">
        <f>IF(A73="WDS", COUNTIF($D:$D, D73) &gt; 1, "")</f>
        <v>0</v>
      </c>
      <c r="C73" s="1">
        <v>105268788</v>
      </c>
      <c r="D73" t="s">
        <v>394</v>
      </c>
      <c r="E73" t="s">
        <v>21</v>
      </c>
      <c r="F73" t="s">
        <v>395</v>
      </c>
      <c r="G73" t="s">
        <v>396</v>
      </c>
      <c r="H73" t="s">
        <v>397</v>
      </c>
      <c r="I73" t="s">
        <v>398</v>
      </c>
      <c r="J73" t="s">
        <v>2179</v>
      </c>
      <c r="K73" t="s">
        <v>2112</v>
      </c>
      <c r="L73" t="s">
        <v>399</v>
      </c>
      <c r="M73" t="s">
        <v>18</v>
      </c>
      <c r="N73" t="b">
        <v>1</v>
      </c>
      <c r="O73" t="b">
        <v>1</v>
      </c>
      <c r="P73" t="b">
        <v>0</v>
      </c>
    </row>
    <row r="74" spans="1:16" x14ac:dyDescent="0.45">
      <c r="A74" t="s">
        <v>1790</v>
      </c>
      <c r="B74" t="b">
        <f>IF(A74="WDS", COUNTIF($D:$D, D74) &gt; 1, "")</f>
        <v>0</v>
      </c>
      <c r="C74" s="1">
        <v>105181164</v>
      </c>
      <c r="D74" t="s">
        <v>400</v>
      </c>
      <c r="E74" t="s">
        <v>21</v>
      </c>
      <c r="F74" t="s">
        <v>401</v>
      </c>
      <c r="G74" t="s">
        <v>333</v>
      </c>
      <c r="H74" t="s">
        <v>402</v>
      </c>
      <c r="I74" t="s">
        <v>403</v>
      </c>
      <c r="J74" t="s">
        <v>2180</v>
      </c>
      <c r="K74" t="s">
        <v>2112</v>
      </c>
      <c r="L74" t="s">
        <v>404</v>
      </c>
      <c r="M74" t="s">
        <v>18</v>
      </c>
      <c r="N74" t="b">
        <v>1</v>
      </c>
      <c r="O74" t="b">
        <v>1</v>
      </c>
      <c r="P74" t="b">
        <v>0</v>
      </c>
    </row>
    <row r="75" spans="1:16" x14ac:dyDescent="0.45">
      <c r="A75" t="s">
        <v>1790</v>
      </c>
      <c r="B75" t="b">
        <f>IF(A75="WDS", COUNTIF($D:$D, D75) &gt; 1, "")</f>
        <v>0</v>
      </c>
      <c r="C75" s="1">
        <v>105164505</v>
      </c>
      <c r="D75" t="s">
        <v>405</v>
      </c>
      <c r="E75" t="s">
        <v>21</v>
      </c>
      <c r="F75" t="s">
        <v>406</v>
      </c>
      <c r="G75" t="s">
        <v>407</v>
      </c>
      <c r="H75" t="s">
        <v>408</v>
      </c>
      <c r="I75" t="s">
        <v>409</v>
      </c>
      <c r="J75" t="s">
        <v>2181</v>
      </c>
      <c r="K75" t="s">
        <v>2112</v>
      </c>
      <c r="L75" t="s">
        <v>410</v>
      </c>
      <c r="M75" t="s">
        <v>18</v>
      </c>
      <c r="N75" t="b">
        <v>1</v>
      </c>
      <c r="O75" t="b">
        <v>1</v>
      </c>
      <c r="P75" t="b">
        <v>0</v>
      </c>
    </row>
    <row r="76" spans="1:16" x14ac:dyDescent="0.45">
      <c r="A76" t="s">
        <v>1790</v>
      </c>
      <c r="B76" t="b">
        <f>IF(A76="WDS", COUNTIF($D:$D, D76) &gt; 1, "")</f>
        <v>0</v>
      </c>
      <c r="C76" s="1">
        <v>105107454</v>
      </c>
      <c r="D76" t="s">
        <v>411</v>
      </c>
      <c r="E76" t="s">
        <v>21</v>
      </c>
      <c r="F76" t="s">
        <v>412</v>
      </c>
      <c r="G76" t="s">
        <v>339</v>
      </c>
      <c r="H76" t="s">
        <v>413</v>
      </c>
      <c r="I76" t="s">
        <v>414</v>
      </c>
      <c r="J76" t="s">
        <v>2182</v>
      </c>
      <c r="K76" t="s">
        <v>2183</v>
      </c>
      <c r="L76" t="s">
        <v>415</v>
      </c>
      <c r="M76" t="s">
        <v>416</v>
      </c>
      <c r="N76" t="b">
        <v>1</v>
      </c>
      <c r="O76" t="b">
        <v>1</v>
      </c>
      <c r="P76" t="b">
        <v>0</v>
      </c>
    </row>
    <row r="77" spans="1:16" x14ac:dyDescent="0.45">
      <c r="A77" t="s">
        <v>1790</v>
      </c>
      <c r="B77" t="b">
        <f>IF(A77="WDS", COUNTIF($D:$D, D77) &gt; 1, "")</f>
        <v>0</v>
      </c>
      <c r="C77" s="1">
        <v>105094086</v>
      </c>
      <c r="D77" t="s">
        <v>417</v>
      </c>
      <c r="E77" t="s">
        <v>21</v>
      </c>
      <c r="F77" t="s">
        <v>418</v>
      </c>
      <c r="G77" t="s">
        <v>419</v>
      </c>
      <c r="H77" t="s">
        <v>420</v>
      </c>
      <c r="I77" t="s">
        <v>421</v>
      </c>
      <c r="J77" t="s">
        <v>2184</v>
      </c>
      <c r="K77" t="s">
        <v>2112</v>
      </c>
      <c r="L77" t="s">
        <v>422</v>
      </c>
      <c r="M77" t="s">
        <v>18</v>
      </c>
      <c r="N77" t="b">
        <v>1</v>
      </c>
      <c r="O77" t="b">
        <v>1</v>
      </c>
      <c r="P77" t="b">
        <v>0</v>
      </c>
    </row>
    <row r="78" spans="1:16" x14ac:dyDescent="0.45">
      <c r="A78" t="s">
        <v>1790</v>
      </c>
      <c r="B78" t="b">
        <f>IF(A78="WDS", COUNTIF($D:$D, D78) &gt; 1, "")</f>
        <v>0</v>
      </c>
      <c r="C78" s="1">
        <v>105088113</v>
      </c>
      <c r="D78" t="s">
        <v>423</v>
      </c>
      <c r="E78" t="s">
        <v>21</v>
      </c>
      <c r="F78" t="s">
        <v>424</v>
      </c>
      <c r="G78" t="s">
        <v>425</v>
      </c>
      <c r="H78" t="s">
        <v>426</v>
      </c>
      <c r="I78" t="s">
        <v>427</v>
      </c>
      <c r="J78" t="s">
        <v>2185</v>
      </c>
      <c r="K78" t="s">
        <v>2112</v>
      </c>
      <c r="L78" t="s">
        <v>428</v>
      </c>
      <c r="M78" t="s">
        <v>18</v>
      </c>
      <c r="N78" t="b">
        <v>1</v>
      </c>
      <c r="O78" t="b">
        <v>1</v>
      </c>
      <c r="P78" t="b">
        <v>0</v>
      </c>
    </row>
    <row r="79" spans="1:16" x14ac:dyDescent="0.45">
      <c r="A79" t="s">
        <v>1790</v>
      </c>
      <c r="B79" t="b">
        <f>IF(A79="WDS", COUNTIF($D:$D, D79) &gt; 1, "")</f>
        <v>0</v>
      </c>
      <c r="C79" s="1">
        <v>105076371</v>
      </c>
      <c r="D79" t="s">
        <v>429</v>
      </c>
      <c r="E79" t="s">
        <v>21</v>
      </c>
      <c r="F79" t="s">
        <v>430</v>
      </c>
      <c r="G79" t="s">
        <v>140</v>
      </c>
      <c r="H79" t="s">
        <v>431</v>
      </c>
      <c r="I79" t="s">
        <v>432</v>
      </c>
      <c r="J79" t="s">
        <v>2186</v>
      </c>
      <c r="K79" t="s">
        <v>2112</v>
      </c>
      <c r="L79" t="s">
        <v>433</v>
      </c>
      <c r="M79" t="s">
        <v>18</v>
      </c>
      <c r="N79" t="b">
        <v>1</v>
      </c>
      <c r="O79" t="b">
        <v>1</v>
      </c>
      <c r="P79" t="b">
        <v>0</v>
      </c>
    </row>
    <row r="80" spans="1:16" x14ac:dyDescent="0.45">
      <c r="A80" t="s">
        <v>1790</v>
      </c>
      <c r="B80" t="b">
        <f>IF(A80="WDS", COUNTIF($D:$D, D80) &gt; 1, "")</f>
        <v>0</v>
      </c>
      <c r="C80" s="1">
        <v>105054968</v>
      </c>
      <c r="D80" t="s">
        <v>434</v>
      </c>
      <c r="E80" t="s">
        <v>21</v>
      </c>
      <c r="F80" t="s">
        <v>435</v>
      </c>
      <c r="G80" t="s">
        <v>129</v>
      </c>
      <c r="H80" t="s">
        <v>436</v>
      </c>
      <c r="I80" t="s">
        <v>437</v>
      </c>
      <c r="J80" t="s">
        <v>2187</v>
      </c>
      <c r="K80" t="s">
        <v>2187</v>
      </c>
      <c r="L80" t="s">
        <v>438</v>
      </c>
      <c r="M80" t="s">
        <v>438</v>
      </c>
      <c r="N80" t="b">
        <v>1</v>
      </c>
      <c r="O80" t="b">
        <v>1</v>
      </c>
      <c r="P80" t="b">
        <v>0</v>
      </c>
    </row>
    <row r="81" spans="1:16" x14ac:dyDescent="0.45">
      <c r="A81" t="s">
        <v>1790</v>
      </c>
      <c r="B81" t="b">
        <f>IF(A81="WDS", COUNTIF($D:$D, D81) &gt; 1, "")</f>
        <v>0</v>
      </c>
      <c r="C81" s="1">
        <v>105040761</v>
      </c>
      <c r="D81" t="s">
        <v>439</v>
      </c>
      <c r="E81" t="s">
        <v>21</v>
      </c>
      <c r="F81" t="s">
        <v>440</v>
      </c>
      <c r="G81" t="s">
        <v>345</v>
      </c>
      <c r="H81" t="s">
        <v>441</v>
      </c>
      <c r="I81" t="s">
        <v>442</v>
      </c>
      <c r="J81" t="s">
        <v>2188</v>
      </c>
      <c r="K81" t="s">
        <v>2112</v>
      </c>
      <c r="L81" t="s">
        <v>443</v>
      </c>
      <c r="M81" t="s">
        <v>18</v>
      </c>
      <c r="N81" t="b">
        <v>1</v>
      </c>
      <c r="O81" t="b">
        <v>1</v>
      </c>
      <c r="P81" t="b">
        <v>0</v>
      </c>
    </row>
    <row r="82" spans="1:16" x14ac:dyDescent="0.45">
      <c r="A82" t="s">
        <v>1790</v>
      </c>
      <c r="B82" t="b">
        <f>IF(A82="WDS", COUNTIF($D:$D, D82) &gt; 1, "")</f>
        <v>0</v>
      </c>
      <c r="C82" s="1">
        <v>105001195</v>
      </c>
      <c r="D82" t="s">
        <v>444</v>
      </c>
      <c r="E82" t="s">
        <v>21</v>
      </c>
      <c r="F82" t="s">
        <v>35</v>
      </c>
      <c r="G82" t="s">
        <v>36</v>
      </c>
      <c r="H82" t="s">
        <v>445</v>
      </c>
      <c r="I82" t="s">
        <v>446</v>
      </c>
      <c r="J82" t="s">
        <v>2189</v>
      </c>
      <c r="K82" t="s">
        <v>2189</v>
      </c>
      <c r="L82" t="s">
        <v>447</v>
      </c>
      <c r="M82" t="s">
        <v>447</v>
      </c>
      <c r="N82" t="b">
        <v>1</v>
      </c>
      <c r="O82" t="b">
        <v>1</v>
      </c>
      <c r="P82" t="b">
        <v>0</v>
      </c>
    </row>
    <row r="83" spans="1:16" x14ac:dyDescent="0.45">
      <c r="A83" t="s">
        <v>1790</v>
      </c>
      <c r="B83" t="b">
        <f>IF(A83="WDS", COUNTIF($D:$D, D83) &gt; 1, "")</f>
        <v>0</v>
      </c>
      <c r="C83" s="1">
        <v>104991925</v>
      </c>
      <c r="D83" t="s">
        <v>448</v>
      </c>
      <c r="E83" t="s">
        <v>21</v>
      </c>
      <c r="F83" t="s">
        <v>449</v>
      </c>
      <c r="G83" t="s">
        <v>396</v>
      </c>
      <c r="H83" t="s">
        <v>450</v>
      </c>
      <c r="I83" t="s">
        <v>451</v>
      </c>
      <c r="J83" t="s">
        <v>2190</v>
      </c>
      <c r="K83" t="s">
        <v>2190</v>
      </c>
      <c r="L83" t="s">
        <v>452</v>
      </c>
      <c r="M83" t="s">
        <v>452</v>
      </c>
      <c r="N83" t="b">
        <v>1</v>
      </c>
      <c r="O83" t="b">
        <v>1</v>
      </c>
      <c r="P83" t="b">
        <v>0</v>
      </c>
    </row>
    <row r="84" spans="1:16" x14ac:dyDescent="0.45">
      <c r="A84" t="s">
        <v>1790</v>
      </c>
      <c r="B84" t="b">
        <f>IF(A84="WDS", COUNTIF($D:$D, D84) &gt; 1, "")</f>
        <v>0</v>
      </c>
      <c r="C84" s="1">
        <v>104943731</v>
      </c>
      <c r="D84" t="s">
        <v>453</v>
      </c>
      <c r="E84" t="s">
        <v>21</v>
      </c>
      <c r="F84" t="s">
        <v>454</v>
      </c>
      <c r="G84" t="s">
        <v>345</v>
      </c>
      <c r="H84" t="s">
        <v>455</v>
      </c>
      <c r="I84" t="s">
        <v>456</v>
      </c>
      <c r="J84" t="s">
        <v>2191</v>
      </c>
      <c r="K84" t="s">
        <v>2112</v>
      </c>
      <c r="L84" t="s">
        <v>457</v>
      </c>
      <c r="M84" t="s">
        <v>18</v>
      </c>
      <c r="N84" t="b">
        <v>1</v>
      </c>
      <c r="O84" t="b">
        <v>1</v>
      </c>
      <c r="P84" t="b">
        <v>0</v>
      </c>
    </row>
    <row r="85" spans="1:16" x14ac:dyDescent="0.45">
      <c r="A85" t="s">
        <v>1790</v>
      </c>
      <c r="B85" t="b">
        <f>IF(A85="WDS", COUNTIF($D:$D, D85) &gt; 1, "")</f>
        <v>0</v>
      </c>
      <c r="C85" s="1">
        <v>104905689</v>
      </c>
      <c r="D85" t="s">
        <v>458</v>
      </c>
      <c r="E85" t="s">
        <v>21</v>
      </c>
      <c r="F85" t="s">
        <v>459</v>
      </c>
      <c r="G85" t="s">
        <v>460</v>
      </c>
      <c r="H85" t="s">
        <v>461</v>
      </c>
      <c r="I85" t="s">
        <v>462</v>
      </c>
      <c r="J85" t="s">
        <v>2192</v>
      </c>
      <c r="K85" t="s">
        <v>2112</v>
      </c>
      <c r="L85" t="s">
        <v>463</v>
      </c>
      <c r="M85" t="s">
        <v>18</v>
      </c>
      <c r="N85" t="b">
        <v>1</v>
      </c>
      <c r="O85" t="b">
        <v>1</v>
      </c>
      <c r="P85" t="b">
        <v>0</v>
      </c>
    </row>
    <row r="86" spans="1:16" x14ac:dyDescent="0.45">
      <c r="A86" t="s">
        <v>1790</v>
      </c>
      <c r="B86" t="b">
        <f>IF(A86="WDS", COUNTIF($D:$D, D86) &gt; 1, "")</f>
        <v>0</v>
      </c>
      <c r="C86" s="1">
        <v>104888179</v>
      </c>
      <c r="D86" t="s">
        <v>464</v>
      </c>
      <c r="E86" t="s">
        <v>21</v>
      </c>
      <c r="F86" t="s">
        <v>465</v>
      </c>
      <c r="G86" t="s">
        <v>251</v>
      </c>
      <c r="H86" t="s">
        <v>466</v>
      </c>
      <c r="I86" t="s">
        <v>467</v>
      </c>
      <c r="J86" t="s">
        <v>2193</v>
      </c>
      <c r="K86" t="s">
        <v>2112</v>
      </c>
      <c r="L86" t="s">
        <v>468</v>
      </c>
      <c r="M86" t="s">
        <v>18</v>
      </c>
      <c r="N86" t="b">
        <v>1</v>
      </c>
      <c r="O86" t="b">
        <v>1</v>
      </c>
      <c r="P86" t="b">
        <v>0</v>
      </c>
    </row>
    <row r="87" spans="1:16" x14ac:dyDescent="0.45">
      <c r="A87" t="s">
        <v>1790</v>
      </c>
      <c r="B87" t="b">
        <f>IF(A87="WDS", COUNTIF($D:$D, D87) &gt; 1, "")</f>
        <v>0</v>
      </c>
      <c r="C87" s="1">
        <v>104870298</v>
      </c>
      <c r="D87" t="s">
        <v>469</v>
      </c>
      <c r="E87" t="s">
        <v>21</v>
      </c>
      <c r="F87" t="s">
        <v>470</v>
      </c>
      <c r="G87" t="s">
        <v>114</v>
      </c>
      <c r="H87" t="s">
        <v>471</v>
      </c>
      <c r="I87" t="s">
        <v>472</v>
      </c>
      <c r="J87" t="s">
        <v>2194</v>
      </c>
      <c r="K87" t="s">
        <v>2112</v>
      </c>
      <c r="L87" t="s">
        <v>473</v>
      </c>
      <c r="M87" t="s">
        <v>18</v>
      </c>
      <c r="N87" t="b">
        <v>1</v>
      </c>
      <c r="O87" t="b">
        <v>1</v>
      </c>
      <c r="P87" t="b">
        <v>0</v>
      </c>
    </row>
    <row r="88" spans="1:16" x14ac:dyDescent="0.45">
      <c r="A88" t="s">
        <v>1790</v>
      </c>
      <c r="B88" t="b">
        <f>IF(A88="WDS", COUNTIF($D:$D, D88) &gt; 1, "")</f>
        <v>0</v>
      </c>
      <c r="C88" s="1">
        <v>104861162</v>
      </c>
      <c r="D88" t="s">
        <v>474</v>
      </c>
      <c r="E88" t="s">
        <v>21</v>
      </c>
      <c r="F88" t="s">
        <v>475</v>
      </c>
      <c r="G88" t="s">
        <v>129</v>
      </c>
      <c r="H88" t="s">
        <v>476</v>
      </c>
      <c r="I88" t="s">
        <v>477</v>
      </c>
      <c r="J88" t="s">
        <v>2195</v>
      </c>
      <c r="K88" t="s">
        <v>2112</v>
      </c>
      <c r="L88" t="s">
        <v>478</v>
      </c>
      <c r="M88" t="s">
        <v>18</v>
      </c>
      <c r="N88" t="b">
        <v>1</v>
      </c>
      <c r="O88" t="b">
        <v>1</v>
      </c>
      <c r="P88" t="b">
        <v>0</v>
      </c>
    </row>
    <row r="89" spans="1:16" x14ac:dyDescent="0.45">
      <c r="A89" t="s">
        <v>1790</v>
      </c>
      <c r="B89" t="b">
        <f>IF(A89="WDS", COUNTIF($D:$D, D89) &gt; 1, "")</f>
        <v>0</v>
      </c>
      <c r="C89" s="1">
        <v>104739617</v>
      </c>
      <c r="D89" t="s">
        <v>479</v>
      </c>
      <c r="E89" t="s">
        <v>21</v>
      </c>
      <c r="F89" t="s">
        <v>71</v>
      </c>
      <c r="G89" t="s">
        <v>72</v>
      </c>
      <c r="H89" t="s">
        <v>480</v>
      </c>
      <c r="I89" t="s">
        <v>481</v>
      </c>
      <c r="J89" t="s">
        <v>2112</v>
      </c>
      <c r="K89" t="s">
        <v>2196</v>
      </c>
      <c r="L89" t="s">
        <v>18</v>
      </c>
      <c r="M89" t="s">
        <v>482</v>
      </c>
      <c r="N89" t="b">
        <v>1</v>
      </c>
      <c r="O89" t="b">
        <v>1</v>
      </c>
      <c r="P89" t="b">
        <v>0</v>
      </c>
    </row>
    <row r="90" spans="1:16" x14ac:dyDescent="0.45">
      <c r="A90" t="s">
        <v>1790</v>
      </c>
      <c r="B90" t="b">
        <f>IF(A90="WDS", COUNTIF($D:$D, D90) &gt; 1, "")</f>
        <v>0</v>
      </c>
      <c r="C90" s="1">
        <v>104725775</v>
      </c>
      <c r="D90" t="s">
        <v>483</v>
      </c>
      <c r="E90" t="s">
        <v>21</v>
      </c>
      <c r="F90" t="s">
        <v>484</v>
      </c>
      <c r="G90" t="s">
        <v>54</v>
      </c>
      <c r="H90" t="s">
        <v>485</v>
      </c>
      <c r="I90" t="s">
        <v>486</v>
      </c>
      <c r="J90" t="s">
        <v>2197</v>
      </c>
      <c r="K90" t="s">
        <v>2112</v>
      </c>
      <c r="L90" t="s">
        <v>487</v>
      </c>
      <c r="M90" t="s">
        <v>18</v>
      </c>
      <c r="N90" t="b">
        <v>1</v>
      </c>
      <c r="O90" t="b">
        <v>1</v>
      </c>
      <c r="P90" t="b">
        <v>0</v>
      </c>
    </row>
    <row r="91" spans="1:16" x14ac:dyDescent="0.45">
      <c r="A91" t="s">
        <v>1790</v>
      </c>
      <c r="B91" t="b">
        <f>IF(A91="WDS", COUNTIF($D:$D, D91) &gt; 1, "")</f>
        <v>0</v>
      </c>
      <c r="C91" s="1">
        <v>104686087</v>
      </c>
      <c r="D91" t="s">
        <v>488</v>
      </c>
      <c r="E91" t="s">
        <v>21</v>
      </c>
      <c r="F91" t="s">
        <v>489</v>
      </c>
      <c r="G91" t="s">
        <v>490</v>
      </c>
      <c r="H91" t="s">
        <v>491</v>
      </c>
      <c r="I91" t="s">
        <v>492</v>
      </c>
      <c r="J91" t="s">
        <v>2198</v>
      </c>
      <c r="K91" t="s">
        <v>2112</v>
      </c>
      <c r="L91" t="s">
        <v>493</v>
      </c>
      <c r="M91" t="s">
        <v>18</v>
      </c>
      <c r="N91" t="b">
        <v>1</v>
      </c>
      <c r="O91" t="b">
        <v>1</v>
      </c>
      <c r="P91" t="b">
        <v>0</v>
      </c>
    </row>
    <row r="92" spans="1:16" x14ac:dyDescent="0.45">
      <c r="A92" t="s">
        <v>1790</v>
      </c>
      <c r="B92" t="b">
        <f>IF(A92="WDS", COUNTIF($D:$D, D92) &gt; 1, "")</f>
        <v>0</v>
      </c>
      <c r="C92" s="1">
        <v>104599867</v>
      </c>
      <c r="D92" t="s">
        <v>494</v>
      </c>
      <c r="E92" t="s">
        <v>21</v>
      </c>
      <c r="F92" t="s">
        <v>495</v>
      </c>
      <c r="G92" t="s">
        <v>140</v>
      </c>
      <c r="H92" t="s">
        <v>496</v>
      </c>
      <c r="I92" t="s">
        <v>497</v>
      </c>
      <c r="J92" t="s">
        <v>2199</v>
      </c>
      <c r="K92" t="s">
        <v>2112</v>
      </c>
      <c r="L92" t="s">
        <v>498</v>
      </c>
      <c r="M92" t="s">
        <v>18</v>
      </c>
      <c r="N92" t="b">
        <v>1</v>
      </c>
      <c r="O92" t="b">
        <v>1</v>
      </c>
      <c r="P92" t="b">
        <v>0</v>
      </c>
    </row>
    <row r="93" spans="1:16" x14ac:dyDescent="0.45">
      <c r="A93" t="s">
        <v>1790</v>
      </c>
      <c r="B93" t="b">
        <f>IF(A93="WDS", COUNTIF($D:$D, D93) &gt; 1, "")</f>
        <v>0</v>
      </c>
      <c r="C93" s="1">
        <v>104578093</v>
      </c>
      <c r="D93" t="s">
        <v>499</v>
      </c>
      <c r="E93" t="s">
        <v>21</v>
      </c>
      <c r="F93" t="s">
        <v>500</v>
      </c>
      <c r="G93" t="s">
        <v>501</v>
      </c>
      <c r="H93" t="s">
        <v>502</v>
      </c>
      <c r="I93" t="s">
        <v>503</v>
      </c>
      <c r="J93" t="s">
        <v>2200</v>
      </c>
      <c r="K93" t="s">
        <v>2200</v>
      </c>
      <c r="L93" t="s">
        <v>504</v>
      </c>
      <c r="M93" t="s">
        <v>504</v>
      </c>
      <c r="N93" t="b">
        <v>1</v>
      </c>
      <c r="O93" t="b">
        <v>1</v>
      </c>
      <c r="P93" t="b">
        <v>0</v>
      </c>
    </row>
    <row r="94" spans="1:16" x14ac:dyDescent="0.45">
      <c r="A94" t="s">
        <v>1790</v>
      </c>
      <c r="B94" t="b">
        <f>IF(A94="WDS", COUNTIF($D:$D, D94) &gt; 1, "")</f>
        <v>0</v>
      </c>
      <c r="C94" s="1">
        <v>104536415</v>
      </c>
      <c r="D94" t="s">
        <v>505</v>
      </c>
      <c r="E94" t="s">
        <v>21</v>
      </c>
      <c r="F94" t="s">
        <v>506</v>
      </c>
      <c r="G94" t="s">
        <v>507</v>
      </c>
      <c r="H94" t="s">
        <v>508</v>
      </c>
      <c r="I94" t="s">
        <v>509</v>
      </c>
      <c r="J94" t="s">
        <v>2112</v>
      </c>
      <c r="K94" t="s">
        <v>2201</v>
      </c>
      <c r="L94" t="s">
        <v>18</v>
      </c>
      <c r="M94" t="s">
        <v>510</v>
      </c>
      <c r="N94" t="b">
        <v>1</v>
      </c>
      <c r="O94" t="b">
        <v>1</v>
      </c>
      <c r="P94" t="b">
        <v>0</v>
      </c>
    </row>
    <row r="95" spans="1:16" x14ac:dyDescent="0.45">
      <c r="A95" t="s">
        <v>1790</v>
      </c>
      <c r="B95" t="b">
        <f>IF(A95="WDS", COUNTIF($D:$D, D95) &gt; 1, "")</f>
        <v>0</v>
      </c>
      <c r="C95" s="1">
        <v>104521210</v>
      </c>
      <c r="D95" t="s">
        <v>511</v>
      </c>
      <c r="E95" t="s">
        <v>21</v>
      </c>
      <c r="F95" t="s">
        <v>512</v>
      </c>
      <c r="G95" t="s">
        <v>311</v>
      </c>
      <c r="H95" t="s">
        <v>513</v>
      </c>
      <c r="I95" t="s">
        <v>514</v>
      </c>
      <c r="J95" t="s">
        <v>2202</v>
      </c>
      <c r="K95" t="s">
        <v>2202</v>
      </c>
      <c r="L95" t="s">
        <v>515</v>
      </c>
      <c r="M95" t="s">
        <v>515</v>
      </c>
      <c r="N95" t="b">
        <v>1</v>
      </c>
      <c r="O95" t="b">
        <v>1</v>
      </c>
      <c r="P95" t="b">
        <v>0</v>
      </c>
    </row>
    <row r="96" spans="1:16" x14ac:dyDescent="0.45">
      <c r="A96" t="s">
        <v>1790</v>
      </c>
      <c r="B96" t="b">
        <f>IF(A96="WDS", COUNTIF($D:$D, D96) &gt; 1, "")</f>
        <v>0</v>
      </c>
      <c r="C96" s="1">
        <v>104468267</v>
      </c>
      <c r="D96" t="s">
        <v>516</v>
      </c>
      <c r="E96" t="s">
        <v>21</v>
      </c>
      <c r="F96" t="s">
        <v>517</v>
      </c>
      <c r="G96" t="s">
        <v>311</v>
      </c>
      <c r="H96" t="s">
        <v>518</v>
      </c>
      <c r="I96" t="s">
        <v>519</v>
      </c>
      <c r="J96" t="s">
        <v>2203</v>
      </c>
      <c r="K96" t="s">
        <v>2204</v>
      </c>
      <c r="L96" t="s">
        <v>520</v>
      </c>
      <c r="M96" t="s">
        <v>521</v>
      </c>
      <c r="N96" t="b">
        <v>1</v>
      </c>
      <c r="O96" t="b">
        <v>1</v>
      </c>
      <c r="P96" t="b">
        <v>0</v>
      </c>
    </row>
    <row r="97" spans="1:16" x14ac:dyDescent="0.45">
      <c r="A97" t="s">
        <v>1790</v>
      </c>
      <c r="B97" t="b">
        <f>IF(A97="WDS", COUNTIF($D:$D, D97) &gt; 1, "")</f>
        <v>0</v>
      </c>
      <c r="C97" s="1">
        <v>104367063</v>
      </c>
      <c r="D97" t="s">
        <v>522</v>
      </c>
      <c r="E97" t="s">
        <v>21</v>
      </c>
      <c r="F97" t="s">
        <v>523</v>
      </c>
      <c r="G97" t="s">
        <v>524</v>
      </c>
      <c r="H97" t="s">
        <v>525</v>
      </c>
      <c r="I97" t="s">
        <v>526</v>
      </c>
      <c r="J97" t="s">
        <v>2205</v>
      </c>
      <c r="K97" t="s">
        <v>2206</v>
      </c>
      <c r="L97" t="s">
        <v>527</v>
      </c>
      <c r="M97" t="s">
        <v>528</v>
      </c>
      <c r="N97" t="b">
        <v>1</v>
      </c>
      <c r="O97" t="b">
        <v>1</v>
      </c>
      <c r="P97" t="b">
        <v>0</v>
      </c>
    </row>
    <row r="98" spans="1:16" x14ac:dyDescent="0.45">
      <c r="A98" t="s">
        <v>1790</v>
      </c>
      <c r="B98" t="b">
        <f>IF(A98="WDS", COUNTIF($D:$D, D98) &gt; 1, "")</f>
        <v>0</v>
      </c>
      <c r="C98" s="1">
        <v>104118438</v>
      </c>
      <c r="D98" t="s">
        <v>529</v>
      </c>
      <c r="E98" t="s">
        <v>21</v>
      </c>
      <c r="F98" t="s">
        <v>530</v>
      </c>
      <c r="G98" t="s">
        <v>531</v>
      </c>
      <c r="H98" t="s">
        <v>532</v>
      </c>
      <c r="I98" t="s">
        <v>533</v>
      </c>
      <c r="J98" t="s">
        <v>2207</v>
      </c>
      <c r="K98" t="s">
        <v>2207</v>
      </c>
      <c r="L98" t="s">
        <v>534</v>
      </c>
      <c r="M98" t="s">
        <v>534</v>
      </c>
      <c r="N98" t="b">
        <v>1</v>
      </c>
      <c r="O98" t="b">
        <v>1</v>
      </c>
      <c r="P98" t="b">
        <v>0</v>
      </c>
    </row>
    <row r="99" spans="1:16" x14ac:dyDescent="0.45">
      <c r="A99" t="s">
        <v>1790</v>
      </c>
      <c r="B99" t="b">
        <f>IF(A99="WDS", COUNTIF($D:$D, D99) &gt; 1, "")</f>
        <v>0</v>
      </c>
      <c r="C99" s="1">
        <v>104082872</v>
      </c>
      <c r="D99" t="s">
        <v>535</v>
      </c>
      <c r="E99" t="s">
        <v>21</v>
      </c>
      <c r="F99" t="s">
        <v>536</v>
      </c>
      <c r="G99" t="s">
        <v>228</v>
      </c>
      <c r="H99" t="s">
        <v>537</v>
      </c>
      <c r="I99" t="s">
        <v>538</v>
      </c>
      <c r="J99" t="s">
        <v>2208</v>
      </c>
      <c r="K99" t="s">
        <v>2208</v>
      </c>
      <c r="L99" t="s">
        <v>539</v>
      </c>
      <c r="M99" t="s">
        <v>539</v>
      </c>
      <c r="N99" t="b">
        <v>1</v>
      </c>
      <c r="O99" t="b">
        <v>1</v>
      </c>
      <c r="P99" t="b">
        <v>0</v>
      </c>
    </row>
    <row r="100" spans="1:16" x14ac:dyDescent="0.45">
      <c r="A100" t="s">
        <v>1790</v>
      </c>
      <c r="B100" t="b">
        <f>IF(A100="WDS", COUNTIF($D:$D, D100) &gt; 1, "")</f>
        <v>0</v>
      </c>
      <c r="C100" s="1">
        <v>103910728</v>
      </c>
      <c r="D100" t="s">
        <v>540</v>
      </c>
      <c r="E100" t="s">
        <v>21</v>
      </c>
      <c r="F100" t="s">
        <v>541</v>
      </c>
      <c r="G100" t="s">
        <v>542</v>
      </c>
      <c r="H100" t="s">
        <v>543</v>
      </c>
      <c r="I100" t="s">
        <v>544</v>
      </c>
      <c r="J100" t="s">
        <v>2112</v>
      </c>
      <c r="K100" t="s">
        <v>2112</v>
      </c>
      <c r="L100" t="s">
        <v>18</v>
      </c>
      <c r="M100" t="s">
        <v>18</v>
      </c>
      <c r="N100" t="b">
        <v>1</v>
      </c>
      <c r="O100" t="b">
        <v>1</v>
      </c>
      <c r="P100" t="b">
        <v>0</v>
      </c>
    </row>
    <row r="101" spans="1:16" x14ac:dyDescent="0.45">
      <c r="A101" t="s">
        <v>1790</v>
      </c>
      <c r="B101" t="b">
        <f>IF(A101="WDS", COUNTIF($D:$D, D101) &gt; 1, "")</f>
        <v>0</v>
      </c>
      <c r="C101" s="1">
        <v>103866343</v>
      </c>
      <c r="D101" t="s">
        <v>545</v>
      </c>
      <c r="E101" t="s">
        <v>21</v>
      </c>
      <c r="F101" t="s">
        <v>546</v>
      </c>
      <c r="G101" t="s">
        <v>317</v>
      </c>
      <c r="H101" t="s">
        <v>547</v>
      </c>
      <c r="I101" t="s">
        <v>548</v>
      </c>
      <c r="J101" t="s">
        <v>2209</v>
      </c>
      <c r="K101" t="s">
        <v>2112</v>
      </c>
      <c r="L101" t="s">
        <v>549</v>
      </c>
      <c r="M101" t="s">
        <v>18</v>
      </c>
      <c r="N101" t="b">
        <v>1</v>
      </c>
      <c r="O101" t="b">
        <v>1</v>
      </c>
      <c r="P101" t="b">
        <v>0</v>
      </c>
    </row>
    <row r="102" spans="1:16" x14ac:dyDescent="0.45">
      <c r="A102" t="s">
        <v>1790</v>
      </c>
      <c r="B102" t="b">
        <f>IF(A102="WDS", COUNTIF($D:$D, D102) &gt; 1, "")</f>
        <v>0</v>
      </c>
      <c r="C102" s="1">
        <v>103827267</v>
      </c>
      <c r="D102" t="s">
        <v>550</v>
      </c>
      <c r="E102" t="s">
        <v>21</v>
      </c>
      <c r="F102" t="s">
        <v>551</v>
      </c>
      <c r="G102" t="s">
        <v>164</v>
      </c>
      <c r="H102" t="s">
        <v>552</v>
      </c>
      <c r="I102" t="s">
        <v>553</v>
      </c>
      <c r="J102" t="s">
        <v>2210</v>
      </c>
      <c r="K102" t="s">
        <v>2210</v>
      </c>
      <c r="L102" t="s">
        <v>554</v>
      </c>
      <c r="M102" t="s">
        <v>554</v>
      </c>
      <c r="N102" t="b">
        <v>1</v>
      </c>
      <c r="O102" t="b">
        <v>1</v>
      </c>
      <c r="P102" t="b">
        <v>0</v>
      </c>
    </row>
    <row r="103" spans="1:16" x14ac:dyDescent="0.45">
      <c r="A103" t="s">
        <v>1790</v>
      </c>
      <c r="B103" t="b">
        <f>IF(A103="WDS", COUNTIF($D:$D, D103) &gt; 1, "")</f>
        <v>0</v>
      </c>
      <c r="C103" s="1">
        <v>103791429</v>
      </c>
      <c r="D103" t="s">
        <v>555</v>
      </c>
      <c r="E103" t="s">
        <v>21</v>
      </c>
      <c r="F103" t="s">
        <v>556</v>
      </c>
      <c r="G103" t="s">
        <v>557</v>
      </c>
      <c r="H103" t="s">
        <v>558</v>
      </c>
      <c r="I103" t="s">
        <v>559</v>
      </c>
      <c r="J103" t="s">
        <v>2211</v>
      </c>
      <c r="K103" t="s">
        <v>2112</v>
      </c>
      <c r="L103" t="s">
        <v>560</v>
      </c>
      <c r="M103" t="s">
        <v>18</v>
      </c>
      <c r="N103" t="b">
        <v>1</v>
      </c>
      <c r="O103" t="b">
        <v>1</v>
      </c>
      <c r="P103" t="b">
        <v>0</v>
      </c>
    </row>
    <row r="104" spans="1:16" x14ac:dyDescent="0.45">
      <c r="A104" t="s">
        <v>1790</v>
      </c>
      <c r="B104" t="b">
        <f>IF(A104="WDS", COUNTIF($D:$D, D104) &gt; 1, "")</f>
        <v>0</v>
      </c>
      <c r="C104" s="1">
        <v>103505422</v>
      </c>
      <c r="D104" t="s">
        <v>561</v>
      </c>
      <c r="E104" t="s">
        <v>21</v>
      </c>
      <c r="F104" t="s">
        <v>562</v>
      </c>
      <c r="G104" t="s">
        <v>563</v>
      </c>
      <c r="H104" t="s">
        <v>564</v>
      </c>
      <c r="I104" t="s">
        <v>565</v>
      </c>
      <c r="J104" t="s">
        <v>2212</v>
      </c>
      <c r="K104" t="s">
        <v>2213</v>
      </c>
      <c r="L104" t="s">
        <v>566</v>
      </c>
      <c r="M104" t="s">
        <v>567</v>
      </c>
      <c r="N104" t="b">
        <v>1</v>
      </c>
      <c r="O104" t="b">
        <v>1</v>
      </c>
      <c r="P104" t="b">
        <v>0</v>
      </c>
    </row>
    <row r="105" spans="1:16" x14ac:dyDescent="0.45">
      <c r="A105" t="s">
        <v>1790</v>
      </c>
      <c r="B105" t="b">
        <f>IF(A105="WDS", COUNTIF($D:$D, D105) &gt; 1, "")</f>
        <v>0</v>
      </c>
      <c r="C105" s="1">
        <v>103463465</v>
      </c>
      <c r="D105" t="s">
        <v>568</v>
      </c>
      <c r="E105" t="s">
        <v>21</v>
      </c>
      <c r="F105" t="s">
        <v>569</v>
      </c>
      <c r="G105" t="s">
        <v>570</v>
      </c>
      <c r="H105" t="s">
        <v>571</v>
      </c>
      <c r="I105" t="s">
        <v>572</v>
      </c>
      <c r="J105" t="s">
        <v>2214</v>
      </c>
      <c r="K105" t="s">
        <v>2214</v>
      </c>
      <c r="L105" t="s">
        <v>573</v>
      </c>
      <c r="M105" t="s">
        <v>573</v>
      </c>
      <c r="N105" t="b">
        <v>1</v>
      </c>
      <c r="O105" t="b">
        <v>1</v>
      </c>
      <c r="P105" t="b">
        <v>0</v>
      </c>
    </row>
    <row r="106" spans="1:16" x14ac:dyDescent="0.45">
      <c r="A106" t="s">
        <v>1790</v>
      </c>
      <c r="B106" t="b">
        <f>IF(A106="WDS", COUNTIF($D:$D, D106) &gt; 1, "")</f>
        <v>0</v>
      </c>
      <c r="C106" s="1">
        <v>103460371</v>
      </c>
      <c r="D106" t="s">
        <v>574</v>
      </c>
      <c r="E106" t="s">
        <v>21</v>
      </c>
      <c r="F106" t="s">
        <v>575</v>
      </c>
      <c r="G106" t="s">
        <v>576</v>
      </c>
      <c r="H106" t="s">
        <v>577</v>
      </c>
      <c r="I106" t="s">
        <v>578</v>
      </c>
      <c r="J106" t="s">
        <v>2215</v>
      </c>
      <c r="K106" t="s">
        <v>2112</v>
      </c>
      <c r="L106" t="s">
        <v>579</v>
      </c>
      <c r="M106" t="s">
        <v>18</v>
      </c>
      <c r="N106" t="b">
        <v>1</v>
      </c>
      <c r="O106" t="b">
        <v>1</v>
      </c>
      <c r="P106" t="b">
        <v>0</v>
      </c>
    </row>
    <row r="107" spans="1:16" x14ac:dyDescent="0.45">
      <c r="A107" t="s">
        <v>1790</v>
      </c>
      <c r="B107" t="b">
        <f>IF(A107="WDS", COUNTIF($D:$D, D107) &gt; 1, "")</f>
        <v>0</v>
      </c>
      <c r="C107" s="1">
        <v>103431316</v>
      </c>
      <c r="D107" t="s">
        <v>580</v>
      </c>
      <c r="E107" t="s">
        <v>21</v>
      </c>
      <c r="F107" t="s">
        <v>581</v>
      </c>
      <c r="G107" t="s">
        <v>425</v>
      </c>
      <c r="H107" t="s">
        <v>582</v>
      </c>
      <c r="I107" t="s">
        <v>583</v>
      </c>
      <c r="J107" t="s">
        <v>2216</v>
      </c>
      <c r="K107" t="s">
        <v>2112</v>
      </c>
      <c r="L107" t="s">
        <v>584</v>
      </c>
      <c r="M107" t="s">
        <v>18</v>
      </c>
      <c r="N107" t="b">
        <v>1</v>
      </c>
      <c r="O107" t="b">
        <v>1</v>
      </c>
      <c r="P107" t="b">
        <v>0</v>
      </c>
    </row>
    <row r="108" spans="1:16" x14ac:dyDescent="0.45">
      <c r="A108" t="s">
        <v>1790</v>
      </c>
      <c r="B108" t="b">
        <f>IF(A108="WDS", COUNTIF($D:$D, D108) &gt; 1, "")</f>
        <v>0</v>
      </c>
      <c r="C108" s="1">
        <v>103297412</v>
      </c>
      <c r="D108" t="s">
        <v>585</v>
      </c>
      <c r="E108" t="s">
        <v>21</v>
      </c>
      <c r="F108" t="s">
        <v>586</v>
      </c>
      <c r="G108" t="s">
        <v>587</v>
      </c>
      <c r="H108" t="s">
        <v>588</v>
      </c>
      <c r="I108" t="s">
        <v>589</v>
      </c>
      <c r="J108" t="s">
        <v>2217</v>
      </c>
      <c r="K108" t="s">
        <v>2112</v>
      </c>
      <c r="L108" t="s">
        <v>590</v>
      </c>
      <c r="M108" t="s">
        <v>18</v>
      </c>
      <c r="N108" t="b">
        <v>1</v>
      </c>
      <c r="O108" t="b">
        <v>1</v>
      </c>
      <c r="P108" t="b">
        <v>0</v>
      </c>
    </row>
    <row r="109" spans="1:16" x14ac:dyDescent="0.45">
      <c r="A109" t="s">
        <v>1790</v>
      </c>
      <c r="B109" t="b">
        <f>IF(A109="WDS", COUNTIF($D:$D, D109) &gt; 1, "")</f>
        <v>0</v>
      </c>
      <c r="C109" s="1">
        <v>103289783</v>
      </c>
      <c r="D109" t="s">
        <v>591</v>
      </c>
      <c r="E109" t="s">
        <v>21</v>
      </c>
      <c r="F109" t="s">
        <v>592</v>
      </c>
      <c r="G109" t="s">
        <v>593</v>
      </c>
      <c r="H109" t="s">
        <v>594</v>
      </c>
      <c r="I109" t="s">
        <v>595</v>
      </c>
      <c r="J109" t="s">
        <v>2218</v>
      </c>
      <c r="K109" t="s">
        <v>2112</v>
      </c>
      <c r="L109" t="s">
        <v>596</v>
      </c>
      <c r="M109" t="s">
        <v>18</v>
      </c>
      <c r="N109" t="b">
        <v>1</v>
      </c>
      <c r="O109" t="b">
        <v>1</v>
      </c>
      <c r="P109" t="b">
        <v>0</v>
      </c>
    </row>
    <row r="110" spans="1:16" x14ac:dyDescent="0.45">
      <c r="A110" t="s">
        <v>1790</v>
      </c>
      <c r="B110" t="b">
        <f>IF(A110="WDS", COUNTIF($D:$D, D110) &gt; 1, "")</f>
        <v>0</v>
      </c>
      <c r="C110" s="1">
        <v>103256922</v>
      </c>
      <c r="D110" t="s">
        <v>597</v>
      </c>
      <c r="E110" t="s">
        <v>21</v>
      </c>
      <c r="F110" t="s">
        <v>598</v>
      </c>
      <c r="G110" t="s">
        <v>175</v>
      </c>
      <c r="H110" t="s">
        <v>599</v>
      </c>
      <c r="I110" t="s">
        <v>600</v>
      </c>
      <c r="J110" t="s">
        <v>2219</v>
      </c>
      <c r="K110" t="s">
        <v>2112</v>
      </c>
      <c r="L110" t="s">
        <v>601</v>
      </c>
      <c r="M110" t="s">
        <v>18</v>
      </c>
      <c r="N110" t="b">
        <v>1</v>
      </c>
      <c r="O110" t="b">
        <v>1</v>
      </c>
      <c r="P110" t="b">
        <v>0</v>
      </c>
    </row>
    <row r="111" spans="1:16" x14ac:dyDescent="0.45">
      <c r="A111" t="s">
        <v>1790</v>
      </c>
      <c r="B111" t="b">
        <f>IF(A111="WDS", COUNTIF($D:$D, D111) &gt; 1, "")</f>
        <v>0</v>
      </c>
      <c r="C111" s="1">
        <v>103252516</v>
      </c>
      <c r="D111" t="s">
        <v>602</v>
      </c>
      <c r="E111" t="s">
        <v>21</v>
      </c>
      <c r="F111" t="s">
        <v>603</v>
      </c>
      <c r="G111" t="s">
        <v>604</v>
      </c>
      <c r="H111" t="s">
        <v>605</v>
      </c>
      <c r="I111" t="s">
        <v>606</v>
      </c>
      <c r="J111" t="s">
        <v>2220</v>
      </c>
      <c r="K111" t="s">
        <v>2221</v>
      </c>
      <c r="L111" t="s">
        <v>607</v>
      </c>
      <c r="M111" t="s">
        <v>608</v>
      </c>
      <c r="N111" t="b">
        <v>1</v>
      </c>
      <c r="O111" t="b">
        <v>1</v>
      </c>
      <c r="P111" t="b">
        <v>0</v>
      </c>
    </row>
    <row r="112" spans="1:16" x14ac:dyDescent="0.45">
      <c r="A112" t="s">
        <v>1790</v>
      </c>
      <c r="B112" t="b">
        <f>IF(A112="WDS", COUNTIF($D:$D, D112) &gt; 1, "")</f>
        <v>0</v>
      </c>
      <c r="C112" s="1">
        <v>103150976</v>
      </c>
      <c r="D112" t="s">
        <v>609</v>
      </c>
      <c r="E112" t="s">
        <v>21</v>
      </c>
      <c r="F112" t="s">
        <v>610</v>
      </c>
      <c r="G112" t="s">
        <v>611</v>
      </c>
      <c r="H112" t="s">
        <v>612</v>
      </c>
      <c r="I112" t="s">
        <v>613</v>
      </c>
      <c r="J112" t="s">
        <v>2222</v>
      </c>
      <c r="K112" t="s">
        <v>2223</v>
      </c>
      <c r="L112" t="s">
        <v>614</v>
      </c>
      <c r="M112" t="s">
        <v>615</v>
      </c>
      <c r="N112" t="b">
        <v>1</v>
      </c>
      <c r="O112" t="b">
        <v>1</v>
      </c>
      <c r="P112" t="b">
        <v>0</v>
      </c>
    </row>
    <row r="113" spans="1:16" x14ac:dyDescent="0.45">
      <c r="A113" t="s">
        <v>1790</v>
      </c>
      <c r="B113" t="b">
        <f>IF(A113="WDS", COUNTIF($D:$D, D113) &gt; 1, "")</f>
        <v>0</v>
      </c>
      <c r="C113" s="1">
        <v>103126800</v>
      </c>
      <c r="D113" t="s">
        <v>616</v>
      </c>
      <c r="E113" t="s">
        <v>21</v>
      </c>
      <c r="F113" t="s">
        <v>617</v>
      </c>
      <c r="G113" t="s">
        <v>72</v>
      </c>
      <c r="H113" t="s">
        <v>618</v>
      </c>
      <c r="I113" t="s">
        <v>619</v>
      </c>
      <c r="J113" t="s">
        <v>2224</v>
      </c>
      <c r="K113" t="s">
        <v>2112</v>
      </c>
      <c r="L113" t="s">
        <v>620</v>
      </c>
      <c r="M113" t="s">
        <v>18</v>
      </c>
      <c r="N113" t="b">
        <v>1</v>
      </c>
      <c r="O113" t="b">
        <v>1</v>
      </c>
      <c r="P113" t="b">
        <v>0</v>
      </c>
    </row>
    <row r="114" spans="1:16" x14ac:dyDescent="0.45">
      <c r="A114" t="s">
        <v>1790</v>
      </c>
      <c r="B114" t="b">
        <f>IF(A114="WDS", COUNTIF($D:$D, D114) &gt; 1, "")</f>
        <v>0</v>
      </c>
      <c r="C114" s="1">
        <v>103064700</v>
      </c>
      <c r="D114" t="s">
        <v>621</v>
      </c>
      <c r="E114" t="s">
        <v>21</v>
      </c>
      <c r="F114" t="s">
        <v>622</v>
      </c>
      <c r="G114" t="s">
        <v>623</v>
      </c>
      <c r="H114" t="s">
        <v>624</v>
      </c>
      <c r="I114" t="s">
        <v>625</v>
      </c>
      <c r="J114" t="s">
        <v>2225</v>
      </c>
      <c r="K114" t="s">
        <v>2112</v>
      </c>
      <c r="L114" t="s">
        <v>626</v>
      </c>
      <c r="M114" t="s">
        <v>18</v>
      </c>
      <c r="N114" t="b">
        <v>1</v>
      </c>
      <c r="O114" t="b">
        <v>1</v>
      </c>
      <c r="P114" t="b">
        <v>0</v>
      </c>
    </row>
    <row r="115" spans="1:16" x14ac:dyDescent="0.45">
      <c r="A115" t="s">
        <v>1790</v>
      </c>
      <c r="B115" t="b">
        <f>IF(A115="WDS", COUNTIF($D:$D, D115) &gt; 1, "")</f>
        <v>0</v>
      </c>
      <c r="C115" s="1">
        <v>103047439</v>
      </c>
      <c r="D115" t="s">
        <v>627</v>
      </c>
      <c r="E115" t="s">
        <v>21</v>
      </c>
      <c r="F115" t="s">
        <v>628</v>
      </c>
      <c r="G115" t="s">
        <v>629</v>
      </c>
      <c r="H115" t="s">
        <v>630</v>
      </c>
      <c r="I115" t="s">
        <v>631</v>
      </c>
      <c r="J115" t="s">
        <v>2226</v>
      </c>
      <c r="K115" t="s">
        <v>2112</v>
      </c>
      <c r="L115" t="s">
        <v>632</v>
      </c>
      <c r="M115" t="s">
        <v>18</v>
      </c>
      <c r="N115" t="b">
        <v>1</v>
      </c>
      <c r="O115" t="b">
        <v>1</v>
      </c>
      <c r="P115" t="b">
        <v>0</v>
      </c>
    </row>
    <row r="116" spans="1:16" x14ac:dyDescent="0.45">
      <c r="A116" t="s">
        <v>1790</v>
      </c>
      <c r="B116" t="b">
        <f>IF(A116="WDS", COUNTIF($D:$D, D116) &gt; 1, "")</f>
        <v>1</v>
      </c>
      <c r="C116" s="1">
        <v>103012076</v>
      </c>
      <c r="D116" t="s">
        <v>633</v>
      </c>
      <c r="E116" t="s">
        <v>21</v>
      </c>
      <c r="F116" t="s">
        <v>634</v>
      </c>
      <c r="G116" t="s">
        <v>129</v>
      </c>
      <c r="H116" t="s">
        <v>635</v>
      </c>
      <c r="I116" t="s">
        <v>636</v>
      </c>
      <c r="J116" t="s">
        <v>2205</v>
      </c>
      <c r="K116" t="s">
        <v>2112</v>
      </c>
      <c r="L116" t="s">
        <v>527</v>
      </c>
      <c r="M116" t="s">
        <v>18</v>
      </c>
      <c r="N116" t="b">
        <v>1</v>
      </c>
      <c r="O116" t="b">
        <v>1</v>
      </c>
      <c r="P116" t="b">
        <v>0</v>
      </c>
    </row>
    <row r="117" spans="1:16" x14ac:dyDescent="0.45">
      <c r="A117" t="s">
        <v>1790</v>
      </c>
      <c r="B117" t="b">
        <f>IF(A117="WDS", COUNTIF($D:$D, D117) &gt; 1, "")</f>
        <v>0</v>
      </c>
      <c r="C117" s="1">
        <v>102977890</v>
      </c>
      <c r="D117" t="s">
        <v>637</v>
      </c>
      <c r="E117" t="s">
        <v>21</v>
      </c>
      <c r="F117" t="s">
        <v>638</v>
      </c>
      <c r="G117" t="s">
        <v>152</v>
      </c>
      <c r="H117" t="s">
        <v>639</v>
      </c>
      <c r="I117" t="s">
        <v>640</v>
      </c>
      <c r="J117" t="s">
        <v>2227</v>
      </c>
      <c r="K117" t="s">
        <v>2112</v>
      </c>
      <c r="L117" t="s">
        <v>641</v>
      </c>
      <c r="M117" t="s">
        <v>18</v>
      </c>
      <c r="N117" t="b">
        <v>1</v>
      </c>
      <c r="O117" t="b">
        <v>1</v>
      </c>
      <c r="P117" t="b">
        <v>0</v>
      </c>
    </row>
    <row r="118" spans="1:16" x14ac:dyDescent="0.45">
      <c r="A118" t="s">
        <v>1790</v>
      </c>
      <c r="B118" t="b">
        <f>IF(A118="WDS", COUNTIF($D:$D, D118) &gt; 1, "")</f>
        <v>1</v>
      </c>
      <c r="C118" s="1">
        <v>102967709</v>
      </c>
      <c r="D118" t="s">
        <v>642</v>
      </c>
      <c r="E118" t="s">
        <v>21</v>
      </c>
      <c r="F118" t="s">
        <v>643</v>
      </c>
      <c r="G118" t="s">
        <v>644</v>
      </c>
      <c r="H118" t="s">
        <v>645</v>
      </c>
      <c r="I118" t="s">
        <v>646</v>
      </c>
      <c r="J118" t="s">
        <v>2228</v>
      </c>
      <c r="K118" t="s">
        <v>2229</v>
      </c>
      <c r="L118" t="s">
        <v>647</v>
      </c>
      <c r="M118" t="s">
        <v>648</v>
      </c>
      <c r="N118" t="b">
        <v>1</v>
      </c>
      <c r="O118" t="b">
        <v>1</v>
      </c>
      <c r="P118" t="b">
        <v>0</v>
      </c>
    </row>
    <row r="119" spans="1:16" x14ac:dyDescent="0.45">
      <c r="A119" t="s">
        <v>1790</v>
      </c>
      <c r="B119" t="b">
        <f>IF(A119="WDS", COUNTIF($D:$D, D119) &gt; 1, "")</f>
        <v>0</v>
      </c>
      <c r="C119" s="1">
        <v>102960318</v>
      </c>
      <c r="D119" t="s">
        <v>649</v>
      </c>
      <c r="E119" t="s">
        <v>21</v>
      </c>
      <c r="F119" t="s">
        <v>650</v>
      </c>
      <c r="G119" t="s">
        <v>311</v>
      </c>
      <c r="H119" t="s">
        <v>651</v>
      </c>
      <c r="I119" t="s">
        <v>652</v>
      </c>
      <c r="J119" t="s">
        <v>2230</v>
      </c>
      <c r="K119" t="s">
        <v>2112</v>
      </c>
      <c r="L119" t="s">
        <v>653</v>
      </c>
      <c r="M119" t="s">
        <v>18</v>
      </c>
      <c r="N119" t="b">
        <v>1</v>
      </c>
      <c r="O119" t="b">
        <v>1</v>
      </c>
      <c r="P119" t="b">
        <v>0</v>
      </c>
    </row>
    <row r="120" spans="1:16" x14ac:dyDescent="0.45">
      <c r="A120" t="s">
        <v>1790</v>
      </c>
      <c r="B120" t="b">
        <f>IF(A120="WDS", COUNTIF($D:$D, D120) &gt; 1, "")</f>
        <v>0</v>
      </c>
      <c r="C120" s="1">
        <v>102949557</v>
      </c>
      <c r="D120" t="s">
        <v>654</v>
      </c>
      <c r="E120" t="s">
        <v>21</v>
      </c>
      <c r="F120" t="s">
        <v>655</v>
      </c>
      <c r="G120" t="s">
        <v>425</v>
      </c>
      <c r="H120" t="s">
        <v>656</v>
      </c>
      <c r="I120" t="s">
        <v>657</v>
      </c>
      <c r="J120" t="s">
        <v>2231</v>
      </c>
      <c r="K120" t="s">
        <v>2112</v>
      </c>
      <c r="L120" t="s">
        <v>658</v>
      </c>
      <c r="M120" t="s">
        <v>18</v>
      </c>
      <c r="N120" t="b">
        <v>1</v>
      </c>
      <c r="O120" t="b">
        <v>1</v>
      </c>
      <c r="P120" t="b">
        <v>0</v>
      </c>
    </row>
    <row r="121" spans="1:16" x14ac:dyDescent="0.45">
      <c r="A121" t="s">
        <v>1790</v>
      </c>
      <c r="B121" t="b">
        <f>IF(A121="WDS", COUNTIF($D:$D, D121) &gt; 1, "")</f>
        <v>0</v>
      </c>
      <c r="C121" s="1">
        <v>102947269</v>
      </c>
      <c r="D121" t="s">
        <v>659</v>
      </c>
      <c r="E121" t="s">
        <v>21</v>
      </c>
      <c r="F121" t="s">
        <v>660</v>
      </c>
      <c r="G121" t="s">
        <v>557</v>
      </c>
      <c r="H121" t="s">
        <v>661</v>
      </c>
      <c r="I121" t="s">
        <v>662</v>
      </c>
      <c r="J121" t="s">
        <v>2232</v>
      </c>
      <c r="K121" t="s">
        <v>2112</v>
      </c>
      <c r="L121" t="s">
        <v>663</v>
      </c>
      <c r="M121" t="s">
        <v>18</v>
      </c>
      <c r="N121" t="b">
        <v>1</v>
      </c>
      <c r="O121" t="b">
        <v>1</v>
      </c>
      <c r="P121" t="b">
        <v>0</v>
      </c>
    </row>
    <row r="122" spans="1:16" x14ac:dyDescent="0.45">
      <c r="A122" t="s">
        <v>1790</v>
      </c>
      <c r="B122" t="b">
        <f>IF(A122="WDS", COUNTIF($D:$D, D122) &gt; 1, "")</f>
        <v>0</v>
      </c>
      <c r="C122" s="1">
        <v>102876787</v>
      </c>
      <c r="D122" t="s">
        <v>664</v>
      </c>
      <c r="E122" t="s">
        <v>21</v>
      </c>
      <c r="F122" t="s">
        <v>665</v>
      </c>
      <c r="G122" t="s">
        <v>97</v>
      </c>
      <c r="H122" t="s">
        <v>666</v>
      </c>
      <c r="I122" t="s">
        <v>667</v>
      </c>
      <c r="J122" t="s">
        <v>2233</v>
      </c>
      <c r="K122" t="s">
        <v>2112</v>
      </c>
      <c r="L122" t="s">
        <v>668</v>
      </c>
      <c r="M122" t="s">
        <v>18</v>
      </c>
      <c r="N122" t="b">
        <v>1</v>
      </c>
      <c r="O122" t="b">
        <v>1</v>
      </c>
      <c r="P122" t="b">
        <v>0</v>
      </c>
    </row>
    <row r="123" spans="1:16" x14ac:dyDescent="0.45">
      <c r="A123" t="s">
        <v>1790</v>
      </c>
      <c r="B123" t="b">
        <f>IF(A123="WDS", COUNTIF($D:$D, D123) &gt; 1, "")</f>
        <v>1</v>
      </c>
      <c r="C123" s="1">
        <v>102857968</v>
      </c>
      <c r="D123" t="s">
        <v>669</v>
      </c>
      <c r="E123" t="s">
        <v>21</v>
      </c>
      <c r="F123" t="s">
        <v>670</v>
      </c>
      <c r="G123" t="s">
        <v>277</v>
      </c>
      <c r="H123" t="s">
        <v>671</v>
      </c>
      <c r="I123" t="s">
        <v>672</v>
      </c>
      <c r="J123" t="s">
        <v>2234</v>
      </c>
      <c r="K123" t="s">
        <v>2112</v>
      </c>
      <c r="L123" t="s">
        <v>673</v>
      </c>
      <c r="M123" t="s">
        <v>18</v>
      </c>
      <c r="N123" t="b">
        <v>1</v>
      </c>
      <c r="O123" t="b">
        <v>1</v>
      </c>
      <c r="P123" t="b">
        <v>0</v>
      </c>
    </row>
    <row r="124" spans="1:16" x14ac:dyDescent="0.45">
      <c r="A124" t="s">
        <v>1790</v>
      </c>
      <c r="B124" t="b">
        <f>IF(A124="WDS", COUNTIF($D:$D, D124) &gt; 1, "")</f>
        <v>1</v>
      </c>
      <c r="C124" s="1">
        <v>102852713</v>
      </c>
      <c r="D124" t="s">
        <v>674</v>
      </c>
      <c r="E124" t="s">
        <v>21</v>
      </c>
      <c r="F124" t="s">
        <v>675</v>
      </c>
      <c r="G124" t="s">
        <v>146</v>
      </c>
      <c r="H124" t="s">
        <v>676</v>
      </c>
      <c r="I124" t="s">
        <v>677</v>
      </c>
      <c r="J124" t="s">
        <v>2112</v>
      </c>
      <c r="K124" t="s">
        <v>2235</v>
      </c>
      <c r="L124" t="s">
        <v>18</v>
      </c>
      <c r="M124" t="s">
        <v>678</v>
      </c>
      <c r="N124" t="b">
        <v>1</v>
      </c>
      <c r="O124" t="b">
        <v>1</v>
      </c>
      <c r="P124" t="b">
        <v>0</v>
      </c>
    </row>
    <row r="125" spans="1:16" x14ac:dyDescent="0.45">
      <c r="A125" t="s">
        <v>1790</v>
      </c>
      <c r="B125" t="b">
        <f>IF(A125="WDS", COUNTIF($D:$D, D125) &gt; 1, "")</f>
        <v>0</v>
      </c>
      <c r="C125" s="1">
        <v>102676479</v>
      </c>
      <c r="D125" t="s">
        <v>679</v>
      </c>
      <c r="E125" t="s">
        <v>21</v>
      </c>
      <c r="F125" t="s">
        <v>680</v>
      </c>
      <c r="G125" t="s">
        <v>557</v>
      </c>
      <c r="H125" t="s">
        <v>681</v>
      </c>
      <c r="I125" t="s">
        <v>682</v>
      </c>
      <c r="J125" t="s">
        <v>2236</v>
      </c>
      <c r="K125" t="s">
        <v>2112</v>
      </c>
      <c r="L125" t="s">
        <v>683</v>
      </c>
      <c r="M125" t="s">
        <v>18</v>
      </c>
      <c r="N125" t="b">
        <v>1</v>
      </c>
      <c r="O125" t="b">
        <v>1</v>
      </c>
      <c r="P125" t="b">
        <v>0</v>
      </c>
    </row>
    <row r="126" spans="1:16" x14ac:dyDescent="0.45">
      <c r="A126" t="s">
        <v>1790</v>
      </c>
      <c r="B126" t="b">
        <f>IF(A126="WDS", COUNTIF($D:$D, D126) &gt; 1, "")</f>
        <v>0</v>
      </c>
      <c r="C126" s="1">
        <v>102674065</v>
      </c>
      <c r="D126" t="s">
        <v>684</v>
      </c>
      <c r="E126" t="s">
        <v>21</v>
      </c>
      <c r="F126" t="s">
        <v>685</v>
      </c>
      <c r="G126" t="s">
        <v>686</v>
      </c>
      <c r="H126" t="s">
        <v>687</v>
      </c>
      <c r="I126" t="s">
        <v>688</v>
      </c>
      <c r="J126" t="s">
        <v>2237</v>
      </c>
      <c r="K126" t="s">
        <v>2237</v>
      </c>
      <c r="L126" t="s">
        <v>689</v>
      </c>
      <c r="M126" t="s">
        <v>689</v>
      </c>
      <c r="N126" t="b">
        <v>1</v>
      </c>
      <c r="O126" t="b">
        <v>1</v>
      </c>
      <c r="P126" t="b">
        <v>0</v>
      </c>
    </row>
    <row r="127" spans="1:16" x14ac:dyDescent="0.45">
      <c r="A127" t="s">
        <v>1790</v>
      </c>
      <c r="B127" t="b">
        <f>IF(A127="WDS", COUNTIF($D:$D, D127) &gt; 1, "")</f>
        <v>1</v>
      </c>
      <c r="C127" s="1">
        <v>102650272</v>
      </c>
      <c r="D127" t="s">
        <v>690</v>
      </c>
      <c r="E127" t="s">
        <v>21</v>
      </c>
      <c r="F127" t="s">
        <v>691</v>
      </c>
      <c r="G127" t="s">
        <v>692</v>
      </c>
      <c r="H127" t="s">
        <v>693</v>
      </c>
      <c r="I127" t="s">
        <v>694</v>
      </c>
      <c r="J127" t="s">
        <v>2238</v>
      </c>
      <c r="K127" t="s">
        <v>2238</v>
      </c>
      <c r="L127" t="s">
        <v>695</v>
      </c>
      <c r="M127" t="s">
        <v>695</v>
      </c>
      <c r="N127" t="b">
        <v>1</v>
      </c>
      <c r="O127" t="b">
        <v>1</v>
      </c>
      <c r="P127" t="b">
        <v>0</v>
      </c>
    </row>
    <row r="128" spans="1:16" x14ac:dyDescent="0.45">
      <c r="A128" t="s">
        <v>1790</v>
      </c>
      <c r="B128" t="b">
        <f>IF(A128="WDS", COUNTIF($D:$D, D128) &gt; 1, "")</f>
        <v>0</v>
      </c>
      <c r="C128" s="1">
        <v>102629770</v>
      </c>
      <c r="D128" t="s">
        <v>696</v>
      </c>
      <c r="E128" t="s">
        <v>21</v>
      </c>
      <c r="F128" t="s">
        <v>697</v>
      </c>
      <c r="G128" t="s">
        <v>164</v>
      </c>
      <c r="H128" t="s">
        <v>698</v>
      </c>
      <c r="I128" t="s">
        <v>699</v>
      </c>
      <c r="J128" t="s">
        <v>2239</v>
      </c>
      <c r="K128" t="s">
        <v>2239</v>
      </c>
      <c r="L128" t="s">
        <v>700</v>
      </c>
      <c r="M128" t="s">
        <v>700</v>
      </c>
      <c r="N128" t="b">
        <v>1</v>
      </c>
      <c r="O128" t="b">
        <v>1</v>
      </c>
      <c r="P128" t="b">
        <v>0</v>
      </c>
    </row>
    <row r="129" spans="1:16" x14ac:dyDescent="0.45">
      <c r="A129" t="s">
        <v>1790</v>
      </c>
      <c r="B129" t="b">
        <f>IF(A129="WDS", COUNTIF($D:$D, D129) &gt; 1, "")</f>
        <v>0</v>
      </c>
      <c r="C129" s="1">
        <v>102591333</v>
      </c>
      <c r="D129" t="s">
        <v>701</v>
      </c>
      <c r="E129" t="s">
        <v>21</v>
      </c>
      <c r="F129" t="s">
        <v>702</v>
      </c>
      <c r="G129" t="s">
        <v>30</v>
      </c>
      <c r="H129" t="s">
        <v>703</v>
      </c>
      <c r="I129" t="s">
        <v>704</v>
      </c>
      <c r="J129" t="s">
        <v>2115</v>
      </c>
      <c r="K129" t="s">
        <v>2112</v>
      </c>
      <c r="L129" t="s">
        <v>33</v>
      </c>
      <c r="M129" t="s">
        <v>18</v>
      </c>
      <c r="N129" t="b">
        <v>1</v>
      </c>
      <c r="O129" t="b">
        <v>1</v>
      </c>
      <c r="P129" t="b">
        <v>0</v>
      </c>
    </row>
    <row r="130" spans="1:16" x14ac:dyDescent="0.45">
      <c r="A130" t="s">
        <v>1790</v>
      </c>
      <c r="B130" t="b">
        <f>IF(A130="WDS", COUNTIF($D:$D, D130) &gt; 1, "")</f>
        <v>0</v>
      </c>
      <c r="C130" s="1">
        <v>102575550</v>
      </c>
      <c r="D130" t="s">
        <v>705</v>
      </c>
      <c r="E130" t="s">
        <v>21</v>
      </c>
      <c r="F130" t="s">
        <v>706</v>
      </c>
      <c r="G130" t="s">
        <v>306</v>
      </c>
      <c r="H130" t="s">
        <v>707</v>
      </c>
      <c r="I130" t="s">
        <v>708</v>
      </c>
      <c r="J130" t="s">
        <v>2240</v>
      </c>
      <c r="K130" t="s">
        <v>2240</v>
      </c>
      <c r="L130" t="s">
        <v>709</v>
      </c>
      <c r="M130" t="s">
        <v>709</v>
      </c>
      <c r="N130" t="b">
        <v>1</v>
      </c>
      <c r="O130" t="b">
        <v>1</v>
      </c>
      <c r="P130" t="b">
        <v>0</v>
      </c>
    </row>
    <row r="131" spans="1:16" x14ac:dyDescent="0.45">
      <c r="A131" t="s">
        <v>1790</v>
      </c>
      <c r="B131" t="b">
        <f>IF(A131="WDS", COUNTIF($D:$D, D131) &gt; 1, "")</f>
        <v>0</v>
      </c>
      <c r="C131" s="1">
        <v>102566494</v>
      </c>
      <c r="D131" t="s">
        <v>710</v>
      </c>
      <c r="E131" t="s">
        <v>21</v>
      </c>
      <c r="F131" t="s">
        <v>711</v>
      </c>
      <c r="G131" t="s">
        <v>712</v>
      </c>
      <c r="H131" t="s">
        <v>713</v>
      </c>
      <c r="I131" t="s">
        <v>714</v>
      </c>
      <c r="J131" t="s">
        <v>2241</v>
      </c>
      <c r="K131" t="s">
        <v>2112</v>
      </c>
      <c r="L131" t="s">
        <v>715</v>
      </c>
      <c r="M131" t="s">
        <v>18</v>
      </c>
      <c r="N131" t="b">
        <v>1</v>
      </c>
      <c r="O131" t="b">
        <v>1</v>
      </c>
      <c r="P131" t="b">
        <v>0</v>
      </c>
    </row>
    <row r="132" spans="1:16" x14ac:dyDescent="0.45">
      <c r="A132" t="s">
        <v>1790</v>
      </c>
      <c r="B132" t="b">
        <f>IF(A132="WDS", COUNTIF($D:$D, D132) &gt; 1, "")</f>
        <v>0</v>
      </c>
      <c r="C132" s="1">
        <v>102556371</v>
      </c>
      <c r="D132" t="s">
        <v>716</v>
      </c>
      <c r="E132" t="s">
        <v>21</v>
      </c>
      <c r="F132" t="s">
        <v>717</v>
      </c>
      <c r="G132" t="s">
        <v>718</v>
      </c>
      <c r="H132" t="s">
        <v>719</v>
      </c>
      <c r="I132" t="s">
        <v>720</v>
      </c>
      <c r="J132" t="s">
        <v>2242</v>
      </c>
      <c r="K132" t="s">
        <v>2112</v>
      </c>
      <c r="L132" t="s">
        <v>721</v>
      </c>
      <c r="M132" t="s">
        <v>18</v>
      </c>
      <c r="N132" t="b">
        <v>1</v>
      </c>
      <c r="O132" t="b">
        <v>1</v>
      </c>
      <c r="P132" t="b">
        <v>0</v>
      </c>
    </row>
    <row r="133" spans="1:16" x14ac:dyDescent="0.45">
      <c r="A133" t="s">
        <v>1790</v>
      </c>
      <c r="B133" t="b">
        <f>IF(A133="WDS", COUNTIF($D:$D, D133) &gt; 1, "")</f>
        <v>0</v>
      </c>
      <c r="C133" s="1">
        <v>102549928</v>
      </c>
      <c r="D133" t="s">
        <v>722</v>
      </c>
      <c r="E133" t="s">
        <v>21</v>
      </c>
      <c r="F133" t="s">
        <v>723</v>
      </c>
      <c r="G133" t="s">
        <v>724</v>
      </c>
      <c r="H133" t="s">
        <v>725</v>
      </c>
      <c r="I133" t="s">
        <v>726</v>
      </c>
      <c r="J133" t="s">
        <v>2243</v>
      </c>
      <c r="K133" t="s">
        <v>2243</v>
      </c>
      <c r="L133" t="s">
        <v>727</v>
      </c>
      <c r="M133" t="s">
        <v>727</v>
      </c>
      <c r="N133" t="b">
        <v>1</v>
      </c>
      <c r="O133" t="b">
        <v>1</v>
      </c>
      <c r="P133" t="b">
        <v>0</v>
      </c>
    </row>
    <row r="134" spans="1:16" x14ac:dyDescent="0.45">
      <c r="A134" t="s">
        <v>1790</v>
      </c>
      <c r="B134" t="b">
        <f>IF(A134="WDS", COUNTIF($D:$D, D134) &gt; 1, "")</f>
        <v>0</v>
      </c>
      <c r="C134" s="1">
        <v>102546705</v>
      </c>
      <c r="D134" t="s">
        <v>728</v>
      </c>
      <c r="E134" t="s">
        <v>21</v>
      </c>
      <c r="F134" t="s">
        <v>523</v>
      </c>
      <c r="G134" t="s">
        <v>524</v>
      </c>
      <c r="H134" t="s">
        <v>729</v>
      </c>
      <c r="I134" t="s">
        <v>730</v>
      </c>
      <c r="J134" t="s">
        <v>2244</v>
      </c>
      <c r="K134" t="s">
        <v>2112</v>
      </c>
      <c r="L134" t="s">
        <v>731</v>
      </c>
      <c r="M134" t="s">
        <v>18</v>
      </c>
      <c r="N134" t="b">
        <v>1</v>
      </c>
      <c r="O134" t="b">
        <v>1</v>
      </c>
      <c r="P134" t="b">
        <v>0</v>
      </c>
    </row>
    <row r="135" spans="1:16" x14ac:dyDescent="0.45">
      <c r="A135" t="s">
        <v>1790</v>
      </c>
      <c r="B135" t="b">
        <f>IF(A135="WDS", COUNTIF($D:$D, D135) &gt; 1, "")</f>
        <v>1</v>
      </c>
      <c r="C135" s="1">
        <v>102521012</v>
      </c>
      <c r="D135" t="s">
        <v>732</v>
      </c>
      <c r="E135" t="s">
        <v>21</v>
      </c>
      <c r="F135" t="s">
        <v>733</v>
      </c>
      <c r="G135" t="s">
        <v>490</v>
      </c>
      <c r="H135" t="s">
        <v>734</v>
      </c>
      <c r="I135" t="s">
        <v>735</v>
      </c>
      <c r="J135" t="s">
        <v>2245</v>
      </c>
      <c r="K135" t="s">
        <v>2112</v>
      </c>
      <c r="L135" t="s">
        <v>736</v>
      </c>
      <c r="M135" t="s">
        <v>18</v>
      </c>
      <c r="N135" t="b">
        <v>1</v>
      </c>
      <c r="O135" t="b">
        <v>1</v>
      </c>
      <c r="P135" t="b">
        <v>0</v>
      </c>
    </row>
    <row r="136" spans="1:16" x14ac:dyDescent="0.45">
      <c r="A136" t="s">
        <v>1790</v>
      </c>
      <c r="B136" t="b">
        <f>IF(A136="WDS", COUNTIF($D:$D, D136) &gt; 1, "")</f>
        <v>0</v>
      </c>
      <c r="C136" s="1">
        <v>102504283</v>
      </c>
      <c r="D136" t="s">
        <v>737</v>
      </c>
      <c r="E136" t="s">
        <v>21</v>
      </c>
      <c r="F136" t="s">
        <v>738</v>
      </c>
      <c r="G136" t="s">
        <v>42</v>
      </c>
      <c r="H136" t="s">
        <v>739</v>
      </c>
      <c r="I136" t="s">
        <v>740</v>
      </c>
      <c r="J136" t="s">
        <v>2246</v>
      </c>
      <c r="K136" t="s">
        <v>2246</v>
      </c>
      <c r="L136" t="s">
        <v>741</v>
      </c>
      <c r="M136" t="s">
        <v>741</v>
      </c>
      <c r="N136" t="b">
        <v>1</v>
      </c>
      <c r="O136" t="b">
        <v>1</v>
      </c>
      <c r="P136" t="b">
        <v>0</v>
      </c>
    </row>
    <row r="137" spans="1:16" x14ac:dyDescent="0.45">
      <c r="A137" t="s">
        <v>1790</v>
      </c>
      <c r="B137" t="b">
        <f>IF(A137="WDS", COUNTIF($D:$D, D137) &gt; 1, "")</f>
        <v>0</v>
      </c>
      <c r="C137" s="1">
        <v>102445691</v>
      </c>
      <c r="D137" t="s">
        <v>742</v>
      </c>
      <c r="E137" t="s">
        <v>21</v>
      </c>
      <c r="F137" t="s">
        <v>743</v>
      </c>
      <c r="G137" t="s">
        <v>419</v>
      </c>
      <c r="H137" t="s">
        <v>744</v>
      </c>
      <c r="I137" t="s">
        <v>745</v>
      </c>
      <c r="J137" t="s">
        <v>2247</v>
      </c>
      <c r="K137" t="s">
        <v>2247</v>
      </c>
      <c r="L137" t="s">
        <v>746</v>
      </c>
      <c r="M137" t="s">
        <v>746</v>
      </c>
      <c r="N137" t="b">
        <v>1</v>
      </c>
      <c r="O137" t="b">
        <v>1</v>
      </c>
      <c r="P137" t="b">
        <v>0</v>
      </c>
    </row>
    <row r="138" spans="1:16" x14ac:dyDescent="0.45">
      <c r="A138" t="s">
        <v>1790</v>
      </c>
      <c r="B138" t="b">
        <f>IF(A138="WDS", COUNTIF($D:$D, D138) &gt; 1, "")</f>
        <v>0</v>
      </c>
      <c r="C138" s="1">
        <v>102440211</v>
      </c>
      <c r="D138" t="s">
        <v>747</v>
      </c>
      <c r="E138" t="s">
        <v>21</v>
      </c>
      <c r="F138" t="s">
        <v>748</v>
      </c>
      <c r="G138" t="s">
        <v>146</v>
      </c>
      <c r="H138" t="s">
        <v>749</v>
      </c>
      <c r="I138" t="s">
        <v>750</v>
      </c>
      <c r="J138" t="s">
        <v>2248</v>
      </c>
      <c r="K138" t="s">
        <v>2112</v>
      </c>
      <c r="L138" t="s">
        <v>751</v>
      </c>
      <c r="M138" t="s">
        <v>18</v>
      </c>
      <c r="N138" t="b">
        <v>1</v>
      </c>
      <c r="O138" t="b">
        <v>1</v>
      </c>
      <c r="P138" t="b">
        <v>0</v>
      </c>
    </row>
    <row r="139" spans="1:16" x14ac:dyDescent="0.45">
      <c r="A139" t="s">
        <v>1790</v>
      </c>
      <c r="B139" t="b">
        <f>IF(A139="WDS", COUNTIF($D:$D, D139) &gt; 1, "")</f>
        <v>0</v>
      </c>
      <c r="C139" s="1">
        <v>102420465</v>
      </c>
      <c r="D139" t="s">
        <v>752</v>
      </c>
      <c r="E139" t="s">
        <v>21</v>
      </c>
      <c r="F139" t="s">
        <v>523</v>
      </c>
      <c r="G139" t="s">
        <v>524</v>
      </c>
      <c r="H139" t="s">
        <v>753</v>
      </c>
      <c r="I139" t="s">
        <v>754</v>
      </c>
      <c r="J139" t="s">
        <v>2249</v>
      </c>
      <c r="K139" t="s">
        <v>2249</v>
      </c>
      <c r="L139" t="s">
        <v>755</v>
      </c>
      <c r="M139" t="s">
        <v>755</v>
      </c>
      <c r="N139" t="b">
        <v>1</v>
      </c>
      <c r="O139" t="b">
        <v>1</v>
      </c>
      <c r="P139" t="b">
        <v>0</v>
      </c>
    </row>
    <row r="140" spans="1:16" x14ac:dyDescent="0.45">
      <c r="A140" t="s">
        <v>1790</v>
      </c>
      <c r="B140" t="b">
        <f>IF(A140="WDS", COUNTIF($D:$D, D140) &gt; 1, "")</f>
        <v>0</v>
      </c>
      <c r="C140" s="1">
        <v>102419746</v>
      </c>
      <c r="D140" t="s">
        <v>756</v>
      </c>
      <c r="E140" t="s">
        <v>21</v>
      </c>
      <c r="F140" t="s">
        <v>757</v>
      </c>
      <c r="G140" t="s">
        <v>758</v>
      </c>
      <c r="H140" t="s">
        <v>759</v>
      </c>
      <c r="I140" t="s">
        <v>760</v>
      </c>
      <c r="J140" t="s">
        <v>2250</v>
      </c>
      <c r="K140" t="s">
        <v>2250</v>
      </c>
      <c r="L140" t="s">
        <v>761</v>
      </c>
      <c r="M140" t="s">
        <v>761</v>
      </c>
      <c r="N140" t="b">
        <v>1</v>
      </c>
      <c r="O140" t="b">
        <v>1</v>
      </c>
      <c r="P140" t="b">
        <v>0</v>
      </c>
    </row>
    <row r="141" spans="1:16" x14ac:dyDescent="0.45">
      <c r="A141" t="s">
        <v>1790</v>
      </c>
      <c r="B141" t="b">
        <f>IF(A141="WDS", COUNTIF($D:$D, D141) &gt; 1, "")</f>
        <v>0</v>
      </c>
      <c r="C141" s="1">
        <v>102381303</v>
      </c>
      <c r="D141" t="s">
        <v>762</v>
      </c>
      <c r="E141" t="s">
        <v>21</v>
      </c>
      <c r="F141" t="s">
        <v>763</v>
      </c>
      <c r="G141" t="s">
        <v>764</v>
      </c>
      <c r="H141" t="s">
        <v>765</v>
      </c>
      <c r="I141" t="s">
        <v>766</v>
      </c>
      <c r="J141" t="s">
        <v>2251</v>
      </c>
      <c r="K141" t="s">
        <v>2112</v>
      </c>
      <c r="L141" t="s">
        <v>767</v>
      </c>
      <c r="M141" t="s">
        <v>18</v>
      </c>
      <c r="N141" t="b">
        <v>1</v>
      </c>
      <c r="O141" t="b">
        <v>1</v>
      </c>
      <c r="P141" t="b">
        <v>0</v>
      </c>
    </row>
    <row r="142" spans="1:16" x14ac:dyDescent="0.45">
      <c r="A142" t="s">
        <v>1790</v>
      </c>
      <c r="B142" t="b">
        <f>IF(A142="WDS", COUNTIF($D:$D, D142) &gt; 1, "")</f>
        <v>0</v>
      </c>
      <c r="C142" s="1">
        <v>102375565</v>
      </c>
      <c r="D142" t="s">
        <v>768</v>
      </c>
      <c r="E142" t="s">
        <v>21</v>
      </c>
      <c r="F142" t="s">
        <v>769</v>
      </c>
      <c r="G142" t="s">
        <v>271</v>
      </c>
      <c r="H142" t="s">
        <v>770</v>
      </c>
      <c r="I142" t="s">
        <v>771</v>
      </c>
      <c r="J142" t="s">
        <v>2252</v>
      </c>
      <c r="K142" t="s">
        <v>2252</v>
      </c>
      <c r="L142" t="s">
        <v>772</v>
      </c>
      <c r="M142" t="s">
        <v>772</v>
      </c>
      <c r="N142" t="b">
        <v>1</v>
      </c>
      <c r="O142" t="b">
        <v>1</v>
      </c>
      <c r="P142" t="b">
        <v>0</v>
      </c>
    </row>
    <row r="143" spans="1:16" x14ac:dyDescent="0.45">
      <c r="A143" t="s">
        <v>1790</v>
      </c>
      <c r="B143" t="b">
        <f>IF(A143="WDS", COUNTIF($D:$D, D143) &gt; 1, "")</f>
        <v>0</v>
      </c>
      <c r="C143" s="1">
        <v>102346443</v>
      </c>
      <c r="D143" t="s">
        <v>773</v>
      </c>
      <c r="E143" t="s">
        <v>21</v>
      </c>
      <c r="F143" t="s">
        <v>774</v>
      </c>
      <c r="G143" t="s">
        <v>775</v>
      </c>
      <c r="H143" t="s">
        <v>776</v>
      </c>
      <c r="I143" t="s">
        <v>777</v>
      </c>
      <c r="J143" t="s">
        <v>2253</v>
      </c>
      <c r="K143" t="s">
        <v>2112</v>
      </c>
      <c r="L143" t="s">
        <v>778</v>
      </c>
      <c r="M143" t="s">
        <v>18</v>
      </c>
      <c r="N143" t="b">
        <v>1</v>
      </c>
      <c r="O143" t="b">
        <v>1</v>
      </c>
      <c r="P143" t="b">
        <v>0</v>
      </c>
    </row>
    <row r="144" spans="1:16" x14ac:dyDescent="0.45">
      <c r="A144" t="s">
        <v>1790</v>
      </c>
      <c r="B144" t="b">
        <f>IF(A144="WDS", COUNTIF($D:$D, D144) &gt; 1, "")</f>
        <v>0</v>
      </c>
      <c r="C144" s="1">
        <v>102339649</v>
      </c>
      <c r="D144" t="s">
        <v>779</v>
      </c>
      <c r="E144" t="s">
        <v>21</v>
      </c>
      <c r="F144" t="s">
        <v>780</v>
      </c>
      <c r="G144" t="s">
        <v>257</v>
      </c>
      <c r="H144" t="s">
        <v>781</v>
      </c>
      <c r="I144" t="s">
        <v>782</v>
      </c>
      <c r="J144" t="s">
        <v>2254</v>
      </c>
      <c r="K144" t="s">
        <v>2254</v>
      </c>
      <c r="L144" t="s">
        <v>783</v>
      </c>
      <c r="M144" t="s">
        <v>783</v>
      </c>
      <c r="N144" t="b">
        <v>1</v>
      </c>
      <c r="O144" t="b">
        <v>1</v>
      </c>
      <c r="P144" t="b">
        <v>0</v>
      </c>
    </row>
    <row r="145" spans="1:16" x14ac:dyDescent="0.45">
      <c r="A145" t="s">
        <v>1790</v>
      </c>
      <c r="B145" t="b">
        <f>IF(A145="WDS", COUNTIF($D:$D, D145) &gt; 1, "")</f>
        <v>1</v>
      </c>
      <c r="C145" s="1">
        <v>102326045</v>
      </c>
      <c r="D145" t="s">
        <v>784</v>
      </c>
      <c r="E145" t="s">
        <v>21</v>
      </c>
      <c r="F145" t="s">
        <v>785</v>
      </c>
      <c r="G145" t="s">
        <v>60</v>
      </c>
      <c r="H145" t="s">
        <v>786</v>
      </c>
      <c r="I145" t="s">
        <v>787</v>
      </c>
      <c r="J145" t="s">
        <v>2255</v>
      </c>
      <c r="K145" t="s">
        <v>2255</v>
      </c>
      <c r="L145" t="s">
        <v>788</v>
      </c>
      <c r="M145" t="s">
        <v>788</v>
      </c>
      <c r="N145" t="b">
        <v>1</v>
      </c>
      <c r="O145" t="b">
        <v>1</v>
      </c>
      <c r="P145" t="b">
        <v>0</v>
      </c>
    </row>
    <row r="146" spans="1:16" x14ac:dyDescent="0.45">
      <c r="A146" t="s">
        <v>1790</v>
      </c>
      <c r="B146" t="b">
        <f>IF(A146="WDS", COUNTIF($D:$D, D146) &gt; 1, "")</f>
        <v>0</v>
      </c>
      <c r="C146" s="1">
        <v>102317664</v>
      </c>
      <c r="D146" t="s">
        <v>789</v>
      </c>
      <c r="E146" t="s">
        <v>21</v>
      </c>
      <c r="F146" t="s">
        <v>790</v>
      </c>
      <c r="G146" t="s">
        <v>563</v>
      </c>
      <c r="H146" t="s">
        <v>791</v>
      </c>
      <c r="I146" t="s">
        <v>792</v>
      </c>
      <c r="J146" t="s">
        <v>2256</v>
      </c>
      <c r="K146" t="s">
        <v>2112</v>
      </c>
      <c r="L146" t="s">
        <v>793</v>
      </c>
      <c r="M146" t="s">
        <v>18</v>
      </c>
      <c r="N146" t="b">
        <v>1</v>
      </c>
      <c r="O146" t="b">
        <v>1</v>
      </c>
      <c r="P146" t="b">
        <v>0</v>
      </c>
    </row>
    <row r="147" spans="1:16" x14ac:dyDescent="0.45">
      <c r="A147" t="s">
        <v>1790</v>
      </c>
      <c r="B147" t="b">
        <f>IF(A147="WDS", COUNTIF($D:$D, D147) &gt; 1, "")</f>
        <v>0</v>
      </c>
      <c r="C147" s="1">
        <v>102275049</v>
      </c>
      <c r="D147" t="s">
        <v>794</v>
      </c>
      <c r="E147" t="s">
        <v>21</v>
      </c>
      <c r="F147" t="s">
        <v>795</v>
      </c>
      <c r="G147" t="s">
        <v>129</v>
      </c>
      <c r="H147" t="s">
        <v>796</v>
      </c>
      <c r="I147" t="s">
        <v>797</v>
      </c>
      <c r="J147" t="s">
        <v>2257</v>
      </c>
      <c r="K147" t="s">
        <v>2258</v>
      </c>
      <c r="L147" t="s">
        <v>798</v>
      </c>
      <c r="M147" t="s">
        <v>799</v>
      </c>
      <c r="N147" t="b">
        <v>1</v>
      </c>
      <c r="O147" t="b">
        <v>1</v>
      </c>
      <c r="P147" t="b">
        <v>0</v>
      </c>
    </row>
    <row r="148" spans="1:16" x14ac:dyDescent="0.45">
      <c r="A148" t="s">
        <v>1790</v>
      </c>
      <c r="B148" t="b">
        <f>IF(A148="WDS", COUNTIF($D:$D, D148) &gt; 1, "")</f>
        <v>0</v>
      </c>
      <c r="C148" s="1">
        <v>102274953</v>
      </c>
      <c r="D148" t="s">
        <v>800</v>
      </c>
      <c r="E148" t="s">
        <v>21</v>
      </c>
      <c r="F148" t="s">
        <v>801</v>
      </c>
      <c r="G148" t="s">
        <v>311</v>
      </c>
      <c r="H148" t="s">
        <v>802</v>
      </c>
      <c r="I148" t="s">
        <v>803</v>
      </c>
      <c r="J148" t="s">
        <v>2259</v>
      </c>
      <c r="K148" t="s">
        <v>2260</v>
      </c>
      <c r="L148" t="s">
        <v>804</v>
      </c>
      <c r="M148" t="s">
        <v>805</v>
      </c>
      <c r="N148" t="b">
        <v>1</v>
      </c>
      <c r="O148" t="b">
        <v>1</v>
      </c>
      <c r="P148" t="b">
        <v>0</v>
      </c>
    </row>
    <row r="149" spans="1:16" x14ac:dyDescent="0.45">
      <c r="A149" t="s">
        <v>1790</v>
      </c>
      <c r="B149" t="b">
        <f>IF(A149="WDS", COUNTIF($D:$D, D149) &gt; 1, "")</f>
        <v>0</v>
      </c>
      <c r="C149" s="1">
        <v>102271869</v>
      </c>
      <c r="D149" t="s">
        <v>806</v>
      </c>
      <c r="E149" t="s">
        <v>21</v>
      </c>
      <c r="F149" t="s">
        <v>807</v>
      </c>
      <c r="G149" t="s">
        <v>228</v>
      </c>
      <c r="H149" t="s">
        <v>808</v>
      </c>
      <c r="I149" t="s">
        <v>809</v>
      </c>
      <c r="J149" t="s">
        <v>2261</v>
      </c>
      <c r="K149" t="s">
        <v>2112</v>
      </c>
      <c r="L149" t="s">
        <v>810</v>
      </c>
      <c r="M149" t="s">
        <v>18</v>
      </c>
      <c r="N149" t="b">
        <v>1</v>
      </c>
      <c r="O149" t="b">
        <v>1</v>
      </c>
      <c r="P149" t="b">
        <v>0</v>
      </c>
    </row>
    <row r="150" spans="1:16" x14ac:dyDescent="0.45">
      <c r="A150" t="s">
        <v>1790</v>
      </c>
      <c r="B150" t="b">
        <f>IF(A150="WDS", COUNTIF($D:$D, D150) &gt; 1, "")</f>
        <v>0</v>
      </c>
      <c r="C150" s="1">
        <v>102253013</v>
      </c>
      <c r="D150" t="s">
        <v>811</v>
      </c>
      <c r="E150" t="s">
        <v>21</v>
      </c>
      <c r="F150" t="s">
        <v>812</v>
      </c>
      <c r="G150" t="s">
        <v>813</v>
      </c>
      <c r="H150" t="s">
        <v>814</v>
      </c>
      <c r="I150" t="s">
        <v>815</v>
      </c>
      <c r="J150" t="s">
        <v>2112</v>
      </c>
      <c r="K150" t="s">
        <v>2112</v>
      </c>
      <c r="L150" t="s">
        <v>18</v>
      </c>
      <c r="M150" t="s">
        <v>18</v>
      </c>
      <c r="N150" t="b">
        <v>1</v>
      </c>
      <c r="O150" t="b">
        <v>1</v>
      </c>
      <c r="P150" t="b">
        <v>0</v>
      </c>
    </row>
    <row r="151" spans="1:16" x14ac:dyDescent="0.45">
      <c r="A151" t="s">
        <v>1790</v>
      </c>
      <c r="B151" t="b">
        <f>IF(A151="WDS", COUNTIF($D:$D, D151) &gt; 1, "")</f>
        <v>0</v>
      </c>
      <c r="C151" s="1">
        <v>102242700</v>
      </c>
      <c r="D151" t="s">
        <v>816</v>
      </c>
      <c r="E151" t="s">
        <v>21</v>
      </c>
      <c r="F151" t="s">
        <v>817</v>
      </c>
      <c r="G151" t="s">
        <v>557</v>
      </c>
      <c r="H151" t="s">
        <v>818</v>
      </c>
      <c r="I151" t="s">
        <v>819</v>
      </c>
      <c r="J151" t="s">
        <v>2262</v>
      </c>
      <c r="K151" t="s">
        <v>2263</v>
      </c>
      <c r="L151" t="s">
        <v>820</v>
      </c>
      <c r="M151" t="s">
        <v>821</v>
      </c>
      <c r="N151" t="b">
        <v>1</v>
      </c>
      <c r="O151" t="b">
        <v>1</v>
      </c>
      <c r="P151" t="b">
        <v>0</v>
      </c>
    </row>
    <row r="152" spans="1:16" x14ac:dyDescent="0.45">
      <c r="A152" t="s">
        <v>1790</v>
      </c>
      <c r="B152" t="b">
        <f>IF(A152="WDS", COUNTIF($D:$D, D152) &gt; 1, "")</f>
        <v>0</v>
      </c>
      <c r="C152" s="1">
        <v>102242647</v>
      </c>
      <c r="D152" t="s">
        <v>822</v>
      </c>
      <c r="E152" t="s">
        <v>21</v>
      </c>
      <c r="F152" t="s">
        <v>823</v>
      </c>
      <c r="G152" t="s">
        <v>97</v>
      </c>
      <c r="H152" t="s">
        <v>824</v>
      </c>
      <c r="I152" t="s">
        <v>825</v>
      </c>
      <c r="J152" t="s">
        <v>2264</v>
      </c>
      <c r="K152" t="s">
        <v>2265</v>
      </c>
      <c r="L152" t="s">
        <v>826</v>
      </c>
      <c r="M152" t="s">
        <v>827</v>
      </c>
      <c r="N152" t="b">
        <v>1</v>
      </c>
      <c r="O152" t="b">
        <v>1</v>
      </c>
      <c r="P152" t="b">
        <v>0</v>
      </c>
    </row>
    <row r="153" spans="1:16" x14ac:dyDescent="0.45">
      <c r="A153" t="s">
        <v>1790</v>
      </c>
      <c r="B153" t="b">
        <f>IF(A153="WDS", COUNTIF($D:$D, D153) &gt; 1, "")</f>
        <v>0</v>
      </c>
      <c r="C153" s="1">
        <v>102230598</v>
      </c>
      <c r="D153" t="s">
        <v>828</v>
      </c>
      <c r="E153" t="s">
        <v>21</v>
      </c>
      <c r="F153" t="s">
        <v>475</v>
      </c>
      <c r="G153" t="s">
        <v>129</v>
      </c>
      <c r="H153" t="s">
        <v>829</v>
      </c>
      <c r="I153" t="s">
        <v>830</v>
      </c>
      <c r="J153" t="s">
        <v>2266</v>
      </c>
      <c r="K153" t="s">
        <v>2267</v>
      </c>
      <c r="L153" t="s">
        <v>831</v>
      </c>
      <c r="M153" t="s">
        <v>832</v>
      </c>
      <c r="N153" t="b">
        <v>1</v>
      </c>
      <c r="O153" t="b">
        <v>1</v>
      </c>
      <c r="P153" t="b">
        <v>0</v>
      </c>
    </row>
    <row r="154" spans="1:16" x14ac:dyDescent="0.45">
      <c r="A154" t="s">
        <v>1790</v>
      </c>
      <c r="B154" t="b">
        <f>IF(A154="WDS", COUNTIF($D:$D, D154) &gt; 1, "")</f>
        <v>0</v>
      </c>
      <c r="C154" s="1">
        <v>102207227</v>
      </c>
      <c r="D154" t="s">
        <v>833</v>
      </c>
      <c r="E154" t="s">
        <v>21</v>
      </c>
      <c r="F154" t="s">
        <v>834</v>
      </c>
      <c r="G154" t="s">
        <v>835</v>
      </c>
      <c r="H154" t="s">
        <v>836</v>
      </c>
      <c r="I154" t="s">
        <v>837</v>
      </c>
      <c r="J154" t="s">
        <v>2268</v>
      </c>
      <c r="K154" t="s">
        <v>2268</v>
      </c>
      <c r="L154" t="s">
        <v>838</v>
      </c>
      <c r="M154" t="s">
        <v>838</v>
      </c>
      <c r="N154" t="b">
        <v>1</v>
      </c>
      <c r="O154" t="b">
        <v>1</v>
      </c>
      <c r="P154" t="b">
        <v>0</v>
      </c>
    </row>
    <row r="155" spans="1:16" x14ac:dyDescent="0.45">
      <c r="A155" t="s">
        <v>1790</v>
      </c>
      <c r="B155" t="b">
        <f>IF(A155="WDS", COUNTIF($D:$D, D155) &gt; 1, "")</f>
        <v>0</v>
      </c>
      <c r="C155" s="1">
        <v>102194863</v>
      </c>
      <c r="D155" t="s">
        <v>839</v>
      </c>
      <c r="E155" t="s">
        <v>21</v>
      </c>
      <c r="F155" t="s">
        <v>840</v>
      </c>
      <c r="G155" t="s">
        <v>841</v>
      </c>
      <c r="H155" t="s">
        <v>842</v>
      </c>
      <c r="I155" t="s">
        <v>843</v>
      </c>
      <c r="J155" t="s">
        <v>2269</v>
      </c>
      <c r="K155" t="s">
        <v>2112</v>
      </c>
      <c r="L155" t="s">
        <v>844</v>
      </c>
      <c r="M155" t="s">
        <v>18</v>
      </c>
      <c r="N155" t="b">
        <v>1</v>
      </c>
      <c r="O155" t="b">
        <v>1</v>
      </c>
      <c r="P155" t="b">
        <v>0</v>
      </c>
    </row>
    <row r="156" spans="1:16" x14ac:dyDescent="0.45">
      <c r="A156" t="s">
        <v>1790</v>
      </c>
      <c r="B156" t="b">
        <f>IF(A156="WDS", COUNTIF($D:$D, D156) &gt; 1, "")</f>
        <v>0</v>
      </c>
      <c r="C156" s="1">
        <v>102173690</v>
      </c>
      <c r="D156" t="s">
        <v>845</v>
      </c>
      <c r="E156" t="s">
        <v>21</v>
      </c>
      <c r="F156" t="s">
        <v>846</v>
      </c>
      <c r="G156" t="s">
        <v>847</v>
      </c>
      <c r="H156" t="s">
        <v>848</v>
      </c>
      <c r="I156" t="s">
        <v>849</v>
      </c>
      <c r="J156" t="s">
        <v>2270</v>
      </c>
      <c r="K156" t="s">
        <v>2270</v>
      </c>
      <c r="L156" t="s">
        <v>850</v>
      </c>
      <c r="M156" t="s">
        <v>850</v>
      </c>
      <c r="N156" t="b">
        <v>1</v>
      </c>
      <c r="O156" t="b">
        <v>1</v>
      </c>
      <c r="P156" t="b">
        <v>0</v>
      </c>
    </row>
    <row r="157" spans="1:16" x14ac:dyDescent="0.45">
      <c r="A157" t="s">
        <v>1790</v>
      </c>
      <c r="B157" t="b">
        <f>IF(A157="WDS", COUNTIF($D:$D, D157) &gt; 1, "")</f>
        <v>0</v>
      </c>
      <c r="C157" s="1">
        <v>102172710</v>
      </c>
      <c r="D157" t="s">
        <v>851</v>
      </c>
      <c r="E157" t="s">
        <v>21</v>
      </c>
      <c r="F157" t="s">
        <v>852</v>
      </c>
      <c r="G157" t="s">
        <v>460</v>
      </c>
      <c r="H157" t="s">
        <v>853</v>
      </c>
      <c r="I157" t="s">
        <v>854</v>
      </c>
      <c r="J157" t="s">
        <v>2271</v>
      </c>
      <c r="K157" t="s">
        <v>2112</v>
      </c>
      <c r="L157" t="s">
        <v>855</v>
      </c>
      <c r="M157" t="s">
        <v>18</v>
      </c>
      <c r="N157" t="b">
        <v>1</v>
      </c>
      <c r="O157" t="b">
        <v>1</v>
      </c>
      <c r="P157" t="b">
        <v>0</v>
      </c>
    </row>
    <row r="158" spans="1:16" x14ac:dyDescent="0.45">
      <c r="A158" t="s">
        <v>1790</v>
      </c>
      <c r="B158" t="b">
        <f>IF(A158="WDS", COUNTIF($D:$D, D158) &gt; 1, "")</f>
        <v>0</v>
      </c>
      <c r="C158" s="1">
        <v>102138190</v>
      </c>
      <c r="D158" t="s">
        <v>856</v>
      </c>
      <c r="E158" t="s">
        <v>21</v>
      </c>
      <c r="F158" t="s">
        <v>857</v>
      </c>
      <c r="G158" t="s">
        <v>129</v>
      </c>
      <c r="H158" t="s">
        <v>858</v>
      </c>
      <c r="I158" t="s">
        <v>859</v>
      </c>
      <c r="J158" t="s">
        <v>2272</v>
      </c>
      <c r="K158" t="s">
        <v>2272</v>
      </c>
      <c r="L158" t="s">
        <v>860</v>
      </c>
      <c r="M158" t="s">
        <v>860</v>
      </c>
      <c r="N158" t="b">
        <v>1</v>
      </c>
      <c r="O158" t="b">
        <v>1</v>
      </c>
      <c r="P158" t="b">
        <v>0</v>
      </c>
    </row>
    <row r="159" spans="1:16" x14ac:dyDescent="0.45">
      <c r="A159" t="s">
        <v>1790</v>
      </c>
      <c r="B159" t="b">
        <f>IF(A159="WDS", COUNTIF($D:$D, D159) &gt; 1, "")</f>
        <v>0</v>
      </c>
      <c r="C159" s="1">
        <v>102133669</v>
      </c>
      <c r="D159" t="s">
        <v>861</v>
      </c>
      <c r="E159" t="s">
        <v>21</v>
      </c>
      <c r="F159" t="s">
        <v>862</v>
      </c>
      <c r="G159" t="s">
        <v>623</v>
      </c>
      <c r="H159" t="s">
        <v>863</v>
      </c>
      <c r="I159" t="s">
        <v>864</v>
      </c>
      <c r="J159" t="s">
        <v>2273</v>
      </c>
      <c r="K159" t="s">
        <v>2274</v>
      </c>
      <c r="L159" t="s">
        <v>865</v>
      </c>
      <c r="M159" t="s">
        <v>866</v>
      </c>
      <c r="N159" t="b">
        <v>1</v>
      </c>
      <c r="O159" t="b">
        <v>1</v>
      </c>
      <c r="P159" t="b">
        <v>0</v>
      </c>
    </row>
    <row r="160" spans="1:16" x14ac:dyDescent="0.45">
      <c r="A160" t="s">
        <v>1790</v>
      </c>
      <c r="B160" t="b">
        <f>IF(A160="WDS", COUNTIF($D:$D, D160) &gt; 1, "")</f>
        <v>0</v>
      </c>
      <c r="C160" s="1">
        <v>102127796</v>
      </c>
      <c r="D160" t="s">
        <v>867</v>
      </c>
      <c r="E160" t="s">
        <v>21</v>
      </c>
      <c r="F160" t="s">
        <v>868</v>
      </c>
      <c r="G160" t="s">
        <v>78</v>
      </c>
      <c r="H160" t="s">
        <v>869</v>
      </c>
      <c r="I160" t="s">
        <v>870</v>
      </c>
      <c r="J160" t="s">
        <v>2275</v>
      </c>
      <c r="K160" t="s">
        <v>2112</v>
      </c>
      <c r="L160" t="s">
        <v>871</v>
      </c>
      <c r="M160" t="s">
        <v>18</v>
      </c>
      <c r="N160" t="b">
        <v>1</v>
      </c>
      <c r="O160" t="b">
        <v>1</v>
      </c>
      <c r="P160" t="b">
        <v>0</v>
      </c>
    </row>
    <row r="161" spans="1:16" x14ac:dyDescent="0.45">
      <c r="A161" t="s">
        <v>1790</v>
      </c>
      <c r="B161" t="b">
        <f>IF(A161="WDS", COUNTIF($D:$D, D161) &gt; 1, "")</f>
        <v>0</v>
      </c>
      <c r="C161" s="1">
        <v>102126745</v>
      </c>
      <c r="D161" t="s">
        <v>872</v>
      </c>
      <c r="E161" t="s">
        <v>21</v>
      </c>
      <c r="F161" t="s">
        <v>873</v>
      </c>
      <c r="G161" t="s">
        <v>234</v>
      </c>
      <c r="H161" t="s">
        <v>874</v>
      </c>
      <c r="I161" t="s">
        <v>875</v>
      </c>
      <c r="J161" t="s">
        <v>2276</v>
      </c>
      <c r="K161" t="s">
        <v>2112</v>
      </c>
      <c r="L161" t="s">
        <v>876</v>
      </c>
      <c r="M161" t="s">
        <v>18</v>
      </c>
      <c r="N161" t="b">
        <v>1</v>
      </c>
      <c r="O161" t="b">
        <v>1</v>
      </c>
      <c r="P161" t="b">
        <v>0</v>
      </c>
    </row>
    <row r="162" spans="1:16" x14ac:dyDescent="0.45">
      <c r="A162" t="s">
        <v>1790</v>
      </c>
      <c r="B162" t="b">
        <f>IF(A162="WDS", COUNTIF($D:$D, D162) &gt; 1, "")</f>
        <v>1</v>
      </c>
      <c r="C162" s="1">
        <v>102119552</v>
      </c>
      <c r="D162" t="s">
        <v>877</v>
      </c>
      <c r="E162" t="s">
        <v>21</v>
      </c>
      <c r="F162" t="s">
        <v>878</v>
      </c>
      <c r="G162" t="s">
        <v>879</v>
      </c>
      <c r="H162" t="s">
        <v>880</v>
      </c>
      <c r="I162" t="s">
        <v>881</v>
      </c>
      <c r="J162" t="s">
        <v>2277</v>
      </c>
      <c r="K162" t="s">
        <v>2112</v>
      </c>
      <c r="L162" t="s">
        <v>882</v>
      </c>
      <c r="M162" t="s">
        <v>18</v>
      </c>
      <c r="N162" t="b">
        <v>1</v>
      </c>
      <c r="O162" t="b">
        <v>1</v>
      </c>
      <c r="P162" t="b">
        <v>0</v>
      </c>
    </row>
    <row r="163" spans="1:16" x14ac:dyDescent="0.45">
      <c r="A163" t="s">
        <v>1790</v>
      </c>
      <c r="B163" t="b">
        <f>IF(A163="WDS", COUNTIF($D:$D, D163) &gt; 1, "")</f>
        <v>0</v>
      </c>
      <c r="C163" s="1">
        <v>102099028</v>
      </c>
      <c r="D163" t="s">
        <v>883</v>
      </c>
      <c r="E163" t="s">
        <v>21</v>
      </c>
      <c r="F163" t="s">
        <v>884</v>
      </c>
      <c r="G163" t="s">
        <v>54</v>
      </c>
      <c r="H163" t="s">
        <v>885</v>
      </c>
      <c r="I163" t="s">
        <v>886</v>
      </c>
      <c r="J163" t="s">
        <v>2278</v>
      </c>
      <c r="K163" t="s">
        <v>2112</v>
      </c>
      <c r="L163" t="s">
        <v>887</v>
      </c>
      <c r="M163" t="s">
        <v>18</v>
      </c>
      <c r="N163" t="b">
        <v>1</v>
      </c>
      <c r="O163" t="b">
        <v>1</v>
      </c>
      <c r="P163" t="b">
        <v>0</v>
      </c>
    </row>
    <row r="164" spans="1:16" x14ac:dyDescent="0.45">
      <c r="A164" t="s">
        <v>1790</v>
      </c>
      <c r="B164" t="b">
        <f>IF(A164="WDS", COUNTIF($D:$D, D164) &gt; 1, "")</f>
        <v>0</v>
      </c>
      <c r="C164" s="1">
        <v>102098324</v>
      </c>
      <c r="D164" t="s">
        <v>888</v>
      </c>
      <c r="E164" t="s">
        <v>21</v>
      </c>
      <c r="F164" t="s">
        <v>889</v>
      </c>
      <c r="G164" t="s">
        <v>201</v>
      </c>
      <c r="H164" t="s">
        <v>890</v>
      </c>
      <c r="I164" t="s">
        <v>891</v>
      </c>
      <c r="J164" t="s">
        <v>2260</v>
      </c>
      <c r="K164" t="s">
        <v>2112</v>
      </c>
      <c r="L164" t="s">
        <v>805</v>
      </c>
      <c r="M164" t="s">
        <v>18</v>
      </c>
      <c r="N164" t="b">
        <v>1</v>
      </c>
      <c r="O164" t="b">
        <v>1</v>
      </c>
      <c r="P164" t="b">
        <v>0</v>
      </c>
    </row>
    <row r="165" spans="1:16" x14ac:dyDescent="0.45">
      <c r="A165" t="s">
        <v>1790</v>
      </c>
      <c r="B165" t="b">
        <f>IF(A165="WDS", COUNTIF($D:$D, D165) &gt; 1, "")</f>
        <v>0</v>
      </c>
      <c r="C165" s="1">
        <v>102071207</v>
      </c>
      <c r="D165" t="s">
        <v>892</v>
      </c>
      <c r="E165" t="s">
        <v>21</v>
      </c>
      <c r="F165" t="s">
        <v>893</v>
      </c>
      <c r="G165" t="s">
        <v>894</v>
      </c>
      <c r="H165" t="s">
        <v>895</v>
      </c>
      <c r="I165" t="s">
        <v>896</v>
      </c>
      <c r="J165" t="s">
        <v>2279</v>
      </c>
      <c r="K165" t="s">
        <v>2112</v>
      </c>
      <c r="L165" t="s">
        <v>897</v>
      </c>
      <c r="M165" t="s">
        <v>18</v>
      </c>
      <c r="N165" t="b">
        <v>1</v>
      </c>
      <c r="O165" t="b">
        <v>1</v>
      </c>
      <c r="P165" t="b">
        <v>0</v>
      </c>
    </row>
    <row r="166" spans="1:16" x14ac:dyDescent="0.45">
      <c r="A166" t="s">
        <v>1790</v>
      </c>
      <c r="B166" t="b">
        <f>IF(A166="WDS", COUNTIF($D:$D, D166) &gt; 1, "")</f>
        <v>1</v>
      </c>
      <c r="C166" s="1">
        <v>102067749</v>
      </c>
      <c r="D166" t="s">
        <v>898</v>
      </c>
      <c r="E166" t="s">
        <v>21</v>
      </c>
      <c r="F166" t="s">
        <v>899</v>
      </c>
      <c r="G166" t="s">
        <v>900</v>
      </c>
      <c r="H166" t="s">
        <v>901</v>
      </c>
      <c r="I166" t="s">
        <v>902</v>
      </c>
      <c r="J166" t="s">
        <v>2280</v>
      </c>
      <c r="K166" t="s">
        <v>2281</v>
      </c>
      <c r="L166" t="s">
        <v>903</v>
      </c>
      <c r="M166" t="s">
        <v>904</v>
      </c>
      <c r="N166" t="b">
        <v>1</v>
      </c>
      <c r="O166" t="b">
        <v>1</v>
      </c>
      <c r="P166" t="b">
        <v>0</v>
      </c>
    </row>
    <row r="167" spans="1:16" x14ac:dyDescent="0.45">
      <c r="A167" t="s">
        <v>1790</v>
      </c>
      <c r="B167" t="b">
        <f>IF(A167="WDS", COUNTIF($D:$D, D167) &gt; 1, "")</f>
        <v>0</v>
      </c>
      <c r="C167" s="1">
        <v>102053608</v>
      </c>
      <c r="D167" t="s">
        <v>905</v>
      </c>
      <c r="E167" t="s">
        <v>21</v>
      </c>
      <c r="F167" t="s">
        <v>906</v>
      </c>
      <c r="G167" t="s">
        <v>531</v>
      </c>
      <c r="H167" t="s">
        <v>907</v>
      </c>
      <c r="I167" t="s">
        <v>908</v>
      </c>
      <c r="J167" t="s">
        <v>2282</v>
      </c>
      <c r="K167" t="s">
        <v>2112</v>
      </c>
      <c r="L167" t="s">
        <v>909</v>
      </c>
      <c r="M167" t="s">
        <v>18</v>
      </c>
      <c r="N167" t="b">
        <v>1</v>
      </c>
      <c r="O167" t="b">
        <v>1</v>
      </c>
      <c r="P167" t="b">
        <v>0</v>
      </c>
    </row>
    <row r="168" spans="1:16" x14ac:dyDescent="0.45">
      <c r="A168" t="s">
        <v>1790</v>
      </c>
      <c r="B168" t="b">
        <f>IF(A168="WDS", COUNTIF($D:$D, D168) &gt; 1, "")</f>
        <v>0</v>
      </c>
      <c r="C168" s="1">
        <v>102051825</v>
      </c>
      <c r="D168" t="s">
        <v>910</v>
      </c>
      <c r="E168" t="s">
        <v>21</v>
      </c>
      <c r="F168" t="s">
        <v>911</v>
      </c>
      <c r="G168" t="s">
        <v>775</v>
      </c>
      <c r="H168" t="s">
        <v>912</v>
      </c>
      <c r="I168" t="s">
        <v>913</v>
      </c>
      <c r="J168" t="s">
        <v>2283</v>
      </c>
      <c r="K168" t="s">
        <v>2112</v>
      </c>
      <c r="L168" t="s">
        <v>914</v>
      </c>
      <c r="M168" t="s">
        <v>18</v>
      </c>
      <c r="N168" t="b">
        <v>1</v>
      </c>
      <c r="O168" t="b">
        <v>1</v>
      </c>
      <c r="P168" t="b">
        <v>0</v>
      </c>
    </row>
    <row r="169" spans="1:16" x14ac:dyDescent="0.45">
      <c r="A169" t="s">
        <v>1790</v>
      </c>
      <c r="B169" t="b">
        <f>IF(A169="WDS", COUNTIF($D:$D, D169) &gt; 1, "")</f>
        <v>0</v>
      </c>
      <c r="C169" s="1">
        <v>102037244</v>
      </c>
      <c r="D169" t="s">
        <v>915</v>
      </c>
      <c r="E169" t="s">
        <v>21</v>
      </c>
      <c r="F169" t="s">
        <v>916</v>
      </c>
      <c r="G169" t="s">
        <v>917</v>
      </c>
      <c r="H169" t="s">
        <v>918</v>
      </c>
      <c r="I169" t="s">
        <v>919</v>
      </c>
      <c r="J169" t="s">
        <v>2284</v>
      </c>
      <c r="K169" t="s">
        <v>2112</v>
      </c>
      <c r="L169" t="s">
        <v>920</v>
      </c>
      <c r="M169" t="s">
        <v>18</v>
      </c>
      <c r="N169" t="b">
        <v>1</v>
      </c>
      <c r="O169" t="b">
        <v>1</v>
      </c>
      <c r="P169" t="b">
        <v>0</v>
      </c>
    </row>
    <row r="170" spans="1:16" x14ac:dyDescent="0.45">
      <c r="A170" t="s">
        <v>1790</v>
      </c>
      <c r="B170" t="b">
        <f>IF(A170="WDS", COUNTIF($D:$D, D170) &gt; 1, "")</f>
        <v>0</v>
      </c>
      <c r="C170" s="1">
        <v>102017404</v>
      </c>
      <c r="D170" t="s">
        <v>921</v>
      </c>
      <c r="E170" t="s">
        <v>21</v>
      </c>
      <c r="F170" t="s">
        <v>922</v>
      </c>
      <c r="G170" t="s">
        <v>228</v>
      </c>
      <c r="H170" t="s">
        <v>923</v>
      </c>
      <c r="I170" t="s">
        <v>924</v>
      </c>
      <c r="J170" t="s">
        <v>2285</v>
      </c>
      <c r="K170" t="s">
        <v>2112</v>
      </c>
      <c r="L170" t="s">
        <v>925</v>
      </c>
      <c r="M170" t="s">
        <v>18</v>
      </c>
      <c r="N170" t="b">
        <v>1</v>
      </c>
      <c r="O170" t="b">
        <v>1</v>
      </c>
      <c r="P170" t="b">
        <v>0</v>
      </c>
    </row>
    <row r="171" spans="1:16" x14ac:dyDescent="0.45">
      <c r="A171" t="s">
        <v>1790</v>
      </c>
      <c r="B171" t="b">
        <f>IF(A171="WDS", COUNTIF($D:$D, D171) &gt; 1, "")</f>
        <v>0</v>
      </c>
      <c r="C171" s="1">
        <v>102014146</v>
      </c>
      <c r="D171" t="s">
        <v>926</v>
      </c>
      <c r="E171" t="s">
        <v>21</v>
      </c>
      <c r="F171" t="s">
        <v>350</v>
      </c>
      <c r="G171" t="s">
        <v>351</v>
      </c>
      <c r="H171" t="s">
        <v>927</v>
      </c>
      <c r="I171" t="s">
        <v>928</v>
      </c>
      <c r="J171" t="s">
        <v>2286</v>
      </c>
      <c r="K171" t="s">
        <v>2112</v>
      </c>
      <c r="L171" t="s">
        <v>929</v>
      </c>
      <c r="M171" t="s">
        <v>18</v>
      </c>
      <c r="N171" t="b">
        <v>1</v>
      </c>
      <c r="O171" t="b">
        <v>1</v>
      </c>
      <c r="P171" t="b">
        <v>0</v>
      </c>
    </row>
    <row r="172" spans="1:16" x14ac:dyDescent="0.45">
      <c r="A172" t="s">
        <v>1790</v>
      </c>
      <c r="B172" t="b">
        <f>IF(A172="WDS", COUNTIF($D:$D, D172) &gt; 1, "")</f>
        <v>0</v>
      </c>
      <c r="C172" s="1">
        <v>102012738</v>
      </c>
      <c r="D172" t="s">
        <v>930</v>
      </c>
      <c r="E172" t="s">
        <v>21</v>
      </c>
      <c r="F172" t="s">
        <v>931</v>
      </c>
      <c r="G172" t="s">
        <v>932</v>
      </c>
      <c r="H172" t="s">
        <v>933</v>
      </c>
      <c r="I172" t="s">
        <v>934</v>
      </c>
      <c r="J172" t="s">
        <v>2287</v>
      </c>
      <c r="K172" t="s">
        <v>2112</v>
      </c>
      <c r="L172" t="s">
        <v>935</v>
      </c>
      <c r="M172" t="s">
        <v>18</v>
      </c>
      <c r="N172" t="b">
        <v>1</v>
      </c>
      <c r="O172" t="b">
        <v>1</v>
      </c>
      <c r="P172" t="b">
        <v>0</v>
      </c>
    </row>
    <row r="173" spans="1:16" x14ac:dyDescent="0.45">
      <c r="A173" t="s">
        <v>1790</v>
      </c>
      <c r="B173" t="b">
        <f>IF(A173="WDS", COUNTIF($D:$D, D173) &gt; 1, "")</f>
        <v>0</v>
      </c>
      <c r="C173" s="1">
        <v>101987550</v>
      </c>
      <c r="D173" t="s">
        <v>936</v>
      </c>
      <c r="E173" t="s">
        <v>21</v>
      </c>
      <c r="F173" t="s">
        <v>937</v>
      </c>
      <c r="G173" t="s">
        <v>228</v>
      </c>
      <c r="H173" t="s">
        <v>938</v>
      </c>
      <c r="I173" t="s">
        <v>939</v>
      </c>
      <c r="J173" t="s">
        <v>2288</v>
      </c>
      <c r="K173" t="s">
        <v>2289</v>
      </c>
      <c r="L173" t="s">
        <v>940</v>
      </c>
      <c r="M173" t="s">
        <v>941</v>
      </c>
      <c r="N173" t="b">
        <v>1</v>
      </c>
      <c r="O173" t="b">
        <v>1</v>
      </c>
      <c r="P173" t="b">
        <v>0</v>
      </c>
    </row>
    <row r="174" spans="1:16" x14ac:dyDescent="0.45">
      <c r="A174" t="s">
        <v>1790</v>
      </c>
      <c r="B174" t="b">
        <f>IF(A174="WDS", COUNTIF($D:$D, D174) &gt; 1, "")</f>
        <v>0</v>
      </c>
      <c r="C174" s="1">
        <v>101982940</v>
      </c>
      <c r="D174" t="s">
        <v>942</v>
      </c>
      <c r="E174" t="s">
        <v>21</v>
      </c>
      <c r="F174" t="s">
        <v>943</v>
      </c>
      <c r="G174" t="s">
        <v>944</v>
      </c>
      <c r="H174" t="s">
        <v>945</v>
      </c>
      <c r="I174" t="s">
        <v>946</v>
      </c>
      <c r="J174" t="s">
        <v>2112</v>
      </c>
      <c r="K174" t="s">
        <v>2112</v>
      </c>
      <c r="L174" t="s">
        <v>18</v>
      </c>
      <c r="M174" t="s">
        <v>18</v>
      </c>
      <c r="N174" t="b">
        <v>1</v>
      </c>
      <c r="O174" t="b">
        <v>1</v>
      </c>
      <c r="P174" t="b">
        <v>0</v>
      </c>
    </row>
    <row r="175" spans="1:16" x14ac:dyDescent="0.45">
      <c r="A175" t="s">
        <v>1790</v>
      </c>
      <c r="B175" t="b">
        <f>IF(A175="WDS", COUNTIF($D:$D, D175) &gt; 1, "")</f>
        <v>1</v>
      </c>
      <c r="C175" s="1">
        <v>101976944</v>
      </c>
      <c r="D175" t="s">
        <v>947</v>
      </c>
      <c r="E175" t="s">
        <v>21</v>
      </c>
      <c r="F175" t="s">
        <v>948</v>
      </c>
      <c r="G175" t="s">
        <v>949</v>
      </c>
      <c r="H175" t="s">
        <v>950</v>
      </c>
      <c r="I175" t="s">
        <v>951</v>
      </c>
      <c r="J175" t="s">
        <v>2290</v>
      </c>
      <c r="K175" t="s">
        <v>2112</v>
      </c>
      <c r="L175" t="s">
        <v>952</v>
      </c>
      <c r="M175" t="s">
        <v>18</v>
      </c>
      <c r="N175" t="b">
        <v>1</v>
      </c>
      <c r="O175" t="b">
        <v>1</v>
      </c>
      <c r="P175" t="b">
        <v>0</v>
      </c>
    </row>
    <row r="176" spans="1:16" x14ac:dyDescent="0.45">
      <c r="A176" t="s">
        <v>1790</v>
      </c>
      <c r="B176" t="b">
        <f>IF(A176="WDS", COUNTIF($D:$D, D176) &gt; 1, "")</f>
        <v>0</v>
      </c>
      <c r="C176" s="1">
        <v>101976914</v>
      </c>
      <c r="D176" t="s">
        <v>953</v>
      </c>
      <c r="E176" t="s">
        <v>21</v>
      </c>
      <c r="F176" t="s">
        <v>954</v>
      </c>
      <c r="G176" t="s">
        <v>396</v>
      </c>
      <c r="H176" t="s">
        <v>955</v>
      </c>
      <c r="I176" t="s">
        <v>956</v>
      </c>
      <c r="J176" t="s">
        <v>2291</v>
      </c>
      <c r="K176" t="s">
        <v>2292</v>
      </c>
      <c r="L176" t="s">
        <v>957</v>
      </c>
      <c r="M176" t="s">
        <v>958</v>
      </c>
      <c r="N176" t="b">
        <v>1</v>
      </c>
      <c r="O176" t="b">
        <v>1</v>
      </c>
      <c r="P176" t="b">
        <v>0</v>
      </c>
    </row>
    <row r="177" spans="1:16" x14ac:dyDescent="0.45">
      <c r="A177" t="s">
        <v>1790</v>
      </c>
      <c r="B177" t="b">
        <f>IF(A177="WDS", COUNTIF($D:$D, D177) &gt; 1, "")</f>
        <v>1</v>
      </c>
      <c r="C177" s="1">
        <v>101970839</v>
      </c>
      <c r="D177" t="s">
        <v>959</v>
      </c>
      <c r="E177" t="s">
        <v>21</v>
      </c>
      <c r="F177" t="s">
        <v>960</v>
      </c>
      <c r="G177" t="s">
        <v>961</v>
      </c>
      <c r="H177" t="s">
        <v>962</v>
      </c>
      <c r="I177" t="s">
        <v>963</v>
      </c>
      <c r="J177" t="s">
        <v>2293</v>
      </c>
      <c r="K177" t="s">
        <v>2294</v>
      </c>
      <c r="L177" t="s">
        <v>964</v>
      </c>
      <c r="M177" t="s">
        <v>965</v>
      </c>
      <c r="N177" t="b">
        <v>1</v>
      </c>
      <c r="O177" t="b">
        <v>1</v>
      </c>
      <c r="P177" t="b">
        <v>0</v>
      </c>
    </row>
    <row r="178" spans="1:16" x14ac:dyDescent="0.45">
      <c r="A178" t="s">
        <v>1790</v>
      </c>
      <c r="B178" t="b">
        <f>IF(A178="WDS", COUNTIF($D:$D, D178) &gt; 1, "")</f>
        <v>0</v>
      </c>
      <c r="C178" s="1">
        <v>101966889</v>
      </c>
      <c r="D178" t="s">
        <v>966</v>
      </c>
      <c r="E178" t="s">
        <v>21</v>
      </c>
      <c r="F178" t="s">
        <v>967</v>
      </c>
      <c r="G178" t="s">
        <v>968</v>
      </c>
      <c r="H178" t="s">
        <v>969</v>
      </c>
      <c r="I178" t="s">
        <v>970</v>
      </c>
      <c r="J178" t="s">
        <v>2295</v>
      </c>
      <c r="K178" t="s">
        <v>2296</v>
      </c>
      <c r="L178" t="s">
        <v>971</v>
      </c>
      <c r="M178" t="s">
        <v>972</v>
      </c>
      <c r="N178" t="b">
        <v>1</v>
      </c>
      <c r="O178" t="b">
        <v>1</v>
      </c>
      <c r="P178" t="b">
        <v>0</v>
      </c>
    </row>
    <row r="179" spans="1:16" x14ac:dyDescent="0.45">
      <c r="A179" t="s">
        <v>1790</v>
      </c>
      <c r="B179" t="b">
        <f>IF(A179="WDS", COUNTIF($D:$D, D179) &gt; 1, "")</f>
        <v>1</v>
      </c>
      <c r="C179" s="1">
        <v>101954241</v>
      </c>
      <c r="D179" t="s">
        <v>973</v>
      </c>
      <c r="E179" t="s">
        <v>21</v>
      </c>
      <c r="F179" t="s">
        <v>134</v>
      </c>
      <c r="G179" t="s">
        <v>129</v>
      </c>
      <c r="H179" t="s">
        <v>974</v>
      </c>
      <c r="I179" t="s">
        <v>975</v>
      </c>
      <c r="J179" t="s">
        <v>2297</v>
      </c>
      <c r="K179" t="s">
        <v>2112</v>
      </c>
      <c r="L179" t="s">
        <v>976</v>
      </c>
      <c r="M179" t="s">
        <v>18</v>
      </c>
      <c r="N179" t="b">
        <v>1</v>
      </c>
      <c r="O179" t="b">
        <v>1</v>
      </c>
      <c r="P179" t="b">
        <v>0</v>
      </c>
    </row>
    <row r="180" spans="1:16" x14ac:dyDescent="0.45">
      <c r="A180" t="s">
        <v>1790</v>
      </c>
      <c r="B180" t="b">
        <f>IF(A180="WDS", COUNTIF($D:$D, D180) &gt; 1, "")</f>
        <v>0</v>
      </c>
      <c r="C180" s="1">
        <v>101953537</v>
      </c>
      <c r="D180" t="s">
        <v>977</v>
      </c>
      <c r="E180" t="s">
        <v>21</v>
      </c>
      <c r="F180" t="s">
        <v>978</v>
      </c>
      <c r="G180" t="s">
        <v>979</v>
      </c>
      <c r="H180" t="s">
        <v>980</v>
      </c>
      <c r="I180" t="s">
        <v>981</v>
      </c>
      <c r="J180" t="s">
        <v>2298</v>
      </c>
      <c r="K180" t="s">
        <v>2112</v>
      </c>
      <c r="L180" t="s">
        <v>982</v>
      </c>
      <c r="M180" t="s">
        <v>18</v>
      </c>
      <c r="N180" t="b">
        <v>1</v>
      </c>
      <c r="O180" t="b">
        <v>1</v>
      </c>
      <c r="P180" t="b">
        <v>0</v>
      </c>
    </row>
    <row r="181" spans="1:16" x14ac:dyDescent="0.45">
      <c r="A181" t="s">
        <v>1790</v>
      </c>
      <c r="B181" t="b">
        <f>IF(A181="WDS", COUNTIF($D:$D, D181) &gt; 1, "")</f>
        <v>1</v>
      </c>
      <c r="C181" s="1">
        <v>101951717</v>
      </c>
      <c r="D181" t="s">
        <v>983</v>
      </c>
      <c r="E181" t="s">
        <v>21</v>
      </c>
      <c r="F181" t="s">
        <v>984</v>
      </c>
      <c r="G181" t="s">
        <v>152</v>
      </c>
      <c r="H181" t="s">
        <v>985</v>
      </c>
      <c r="I181" t="s">
        <v>986</v>
      </c>
      <c r="J181" t="s">
        <v>2298</v>
      </c>
      <c r="K181" t="s">
        <v>2112</v>
      </c>
      <c r="L181" t="s">
        <v>982</v>
      </c>
      <c r="M181" t="s">
        <v>18</v>
      </c>
      <c r="N181" t="b">
        <v>1</v>
      </c>
      <c r="O181" t="b">
        <v>1</v>
      </c>
      <c r="P181" t="b">
        <v>0</v>
      </c>
    </row>
    <row r="182" spans="1:16" x14ac:dyDescent="0.45">
      <c r="A182" t="s">
        <v>1790</v>
      </c>
      <c r="B182" t="b">
        <f>IF(A182="WDS", COUNTIF($D:$D, D182) &gt; 1, "")</f>
        <v>0</v>
      </c>
      <c r="C182" s="1">
        <v>101945155</v>
      </c>
      <c r="D182" t="s">
        <v>987</v>
      </c>
      <c r="E182" t="s">
        <v>21</v>
      </c>
      <c r="F182" t="s">
        <v>988</v>
      </c>
      <c r="G182" t="s">
        <v>333</v>
      </c>
      <c r="H182" t="s">
        <v>989</v>
      </c>
      <c r="I182" t="s">
        <v>990</v>
      </c>
      <c r="J182" t="s">
        <v>2299</v>
      </c>
      <c r="K182" t="s">
        <v>2300</v>
      </c>
      <c r="L182" t="s">
        <v>991</v>
      </c>
      <c r="M182" t="s">
        <v>992</v>
      </c>
      <c r="N182" t="b">
        <v>1</v>
      </c>
      <c r="O182" t="b">
        <v>1</v>
      </c>
      <c r="P182" t="b">
        <v>0</v>
      </c>
    </row>
    <row r="183" spans="1:16" x14ac:dyDescent="0.45">
      <c r="A183" t="s">
        <v>1790</v>
      </c>
      <c r="B183" t="b">
        <f>IF(A183="WDS", COUNTIF($D:$D, D183) &gt; 1, "")</f>
        <v>1</v>
      </c>
      <c r="C183" s="1">
        <v>101944972</v>
      </c>
      <c r="D183" t="s">
        <v>993</v>
      </c>
      <c r="E183" t="s">
        <v>21</v>
      </c>
      <c r="F183" t="s">
        <v>994</v>
      </c>
      <c r="G183" t="s">
        <v>15</v>
      </c>
      <c r="H183" t="s">
        <v>995</v>
      </c>
      <c r="I183" t="s">
        <v>996</v>
      </c>
      <c r="J183" t="s">
        <v>2301</v>
      </c>
      <c r="K183" t="s">
        <v>2302</v>
      </c>
      <c r="L183" t="s">
        <v>997</v>
      </c>
      <c r="M183" t="s">
        <v>998</v>
      </c>
      <c r="N183" t="b">
        <v>1</v>
      </c>
      <c r="O183" t="b">
        <v>1</v>
      </c>
      <c r="P183" t="b">
        <v>0</v>
      </c>
    </row>
    <row r="184" spans="1:16" x14ac:dyDescent="0.45">
      <c r="A184" t="s">
        <v>1790</v>
      </c>
      <c r="B184" t="b">
        <f>IF(A184="WDS", COUNTIF($D:$D, D184) &gt; 1, "")</f>
        <v>0</v>
      </c>
      <c r="C184" s="1">
        <v>101940929</v>
      </c>
      <c r="D184" t="s">
        <v>999</v>
      </c>
      <c r="E184" t="s">
        <v>21</v>
      </c>
      <c r="F184" t="s">
        <v>1000</v>
      </c>
      <c r="G184" t="s">
        <v>114</v>
      </c>
      <c r="H184" t="s">
        <v>1001</v>
      </c>
      <c r="I184" t="s">
        <v>1002</v>
      </c>
      <c r="J184" t="s">
        <v>2303</v>
      </c>
      <c r="K184" t="s">
        <v>2304</v>
      </c>
      <c r="L184" t="s">
        <v>1003</v>
      </c>
      <c r="M184" t="s">
        <v>1004</v>
      </c>
      <c r="N184" t="b">
        <v>1</v>
      </c>
      <c r="O184" t="b">
        <v>1</v>
      </c>
      <c r="P184" t="b">
        <v>0</v>
      </c>
    </row>
    <row r="185" spans="1:16" x14ac:dyDescent="0.45">
      <c r="A185" t="s">
        <v>1790</v>
      </c>
      <c r="B185" t="b">
        <f>IF(A185="WDS", COUNTIF($D:$D, D185) &gt; 1, "")</f>
        <v>0</v>
      </c>
      <c r="C185" s="1">
        <v>101926278</v>
      </c>
      <c r="D185" t="s">
        <v>1005</v>
      </c>
      <c r="E185" t="s">
        <v>21</v>
      </c>
      <c r="F185" t="s">
        <v>1006</v>
      </c>
      <c r="G185" t="s">
        <v>1007</v>
      </c>
      <c r="H185" t="s">
        <v>1008</v>
      </c>
      <c r="I185" t="s">
        <v>1009</v>
      </c>
      <c r="J185" t="s">
        <v>2305</v>
      </c>
      <c r="K185" t="s">
        <v>2112</v>
      </c>
      <c r="L185" t="s">
        <v>1010</v>
      </c>
      <c r="M185" t="s">
        <v>18</v>
      </c>
      <c r="N185" t="b">
        <v>1</v>
      </c>
      <c r="O185" t="b">
        <v>1</v>
      </c>
      <c r="P185" t="b">
        <v>0</v>
      </c>
    </row>
    <row r="186" spans="1:16" x14ac:dyDescent="0.45">
      <c r="A186" t="s">
        <v>1790</v>
      </c>
      <c r="B186" t="b">
        <f>IF(A186="WDS", COUNTIF($D:$D, D186) &gt; 1, "")</f>
        <v>0</v>
      </c>
      <c r="C186" s="1">
        <v>101925837</v>
      </c>
      <c r="D186" t="s">
        <v>1011</v>
      </c>
      <c r="E186" t="s">
        <v>21</v>
      </c>
      <c r="F186" t="s">
        <v>1012</v>
      </c>
      <c r="G186" t="s">
        <v>847</v>
      </c>
      <c r="H186" t="s">
        <v>1013</v>
      </c>
      <c r="I186" t="s">
        <v>1014</v>
      </c>
      <c r="J186" t="s">
        <v>2306</v>
      </c>
      <c r="K186" t="s">
        <v>2112</v>
      </c>
      <c r="L186" t="s">
        <v>1015</v>
      </c>
      <c r="M186" t="s">
        <v>18</v>
      </c>
      <c r="N186" t="b">
        <v>1</v>
      </c>
      <c r="O186" t="b">
        <v>1</v>
      </c>
      <c r="P186" t="b">
        <v>0</v>
      </c>
    </row>
    <row r="187" spans="1:16" x14ac:dyDescent="0.45">
      <c r="A187" t="s">
        <v>1790</v>
      </c>
      <c r="B187" t="b">
        <f>IF(A187="WDS", COUNTIF($D:$D, D187) &gt; 1, "")</f>
        <v>1</v>
      </c>
      <c r="C187" s="1">
        <v>101895652</v>
      </c>
      <c r="D187" t="s">
        <v>1016</v>
      </c>
      <c r="E187" t="s">
        <v>21</v>
      </c>
      <c r="F187" t="s">
        <v>1017</v>
      </c>
      <c r="G187" t="s">
        <v>23</v>
      </c>
      <c r="H187" t="s">
        <v>1018</v>
      </c>
      <c r="I187" t="s">
        <v>1019</v>
      </c>
      <c r="J187" t="s">
        <v>2307</v>
      </c>
      <c r="K187" t="s">
        <v>2308</v>
      </c>
      <c r="L187" t="s">
        <v>1020</v>
      </c>
      <c r="M187" t="s">
        <v>1021</v>
      </c>
      <c r="N187" t="b">
        <v>1</v>
      </c>
      <c r="O187" t="b">
        <v>1</v>
      </c>
      <c r="P187" t="b">
        <v>0</v>
      </c>
    </row>
    <row r="188" spans="1:16" x14ac:dyDescent="0.45">
      <c r="A188" t="s">
        <v>1790</v>
      </c>
      <c r="B188" t="b">
        <f>IF(A188="WDS", COUNTIF($D:$D, D188) &gt; 1, "")</f>
        <v>1</v>
      </c>
      <c r="C188" s="1">
        <v>101895600</v>
      </c>
      <c r="D188" t="s">
        <v>1022</v>
      </c>
      <c r="E188" t="s">
        <v>21</v>
      </c>
      <c r="F188" t="s">
        <v>1023</v>
      </c>
      <c r="G188" t="s">
        <v>15</v>
      </c>
      <c r="H188" t="s">
        <v>1024</v>
      </c>
      <c r="I188" t="s">
        <v>1025</v>
      </c>
      <c r="J188" t="s">
        <v>2309</v>
      </c>
      <c r="K188" t="s">
        <v>2309</v>
      </c>
      <c r="L188" t="s">
        <v>1026</v>
      </c>
      <c r="M188" t="s">
        <v>1026</v>
      </c>
      <c r="N188" t="b">
        <v>1</v>
      </c>
      <c r="O188" t="b">
        <v>1</v>
      </c>
      <c r="P188" t="b">
        <v>0</v>
      </c>
    </row>
    <row r="189" spans="1:16" x14ac:dyDescent="0.45">
      <c r="A189" t="s">
        <v>1790</v>
      </c>
      <c r="B189" t="b">
        <f>IF(A189="WDS", COUNTIF($D:$D, D189) &gt; 1, "")</f>
        <v>0</v>
      </c>
      <c r="C189" s="1">
        <v>101886883</v>
      </c>
      <c r="D189" t="s">
        <v>1027</v>
      </c>
      <c r="E189" t="s">
        <v>21</v>
      </c>
      <c r="F189" t="s">
        <v>1028</v>
      </c>
      <c r="G189" t="s">
        <v>72</v>
      </c>
      <c r="H189" t="s">
        <v>1029</v>
      </c>
      <c r="I189" t="s">
        <v>1030</v>
      </c>
      <c r="J189" t="s">
        <v>2310</v>
      </c>
      <c r="K189" t="s">
        <v>2310</v>
      </c>
      <c r="L189" t="s">
        <v>1031</v>
      </c>
      <c r="M189" t="s">
        <v>1031</v>
      </c>
      <c r="N189" t="b">
        <v>1</v>
      </c>
      <c r="O189" t="b">
        <v>1</v>
      </c>
      <c r="P189" t="b">
        <v>0</v>
      </c>
    </row>
    <row r="190" spans="1:16" x14ac:dyDescent="0.45">
      <c r="A190" t="s">
        <v>1790</v>
      </c>
      <c r="B190" t="b">
        <f>IF(A190="WDS", COUNTIF($D:$D, D190) &gt; 1, "")</f>
        <v>0</v>
      </c>
      <c r="C190" s="1">
        <v>101886809</v>
      </c>
      <c r="D190" t="s">
        <v>1032</v>
      </c>
      <c r="E190" t="s">
        <v>21</v>
      </c>
      <c r="F190" t="s">
        <v>1033</v>
      </c>
      <c r="G190" t="s">
        <v>1034</v>
      </c>
      <c r="H190" t="s">
        <v>1035</v>
      </c>
      <c r="I190" t="s">
        <v>1036</v>
      </c>
      <c r="J190" t="s">
        <v>2311</v>
      </c>
      <c r="K190" t="s">
        <v>2311</v>
      </c>
      <c r="L190" t="s">
        <v>1037</v>
      </c>
      <c r="M190" t="s">
        <v>1037</v>
      </c>
      <c r="N190" t="b">
        <v>1</v>
      </c>
      <c r="O190" t="b">
        <v>1</v>
      </c>
      <c r="P190" t="b">
        <v>0</v>
      </c>
    </row>
    <row r="191" spans="1:16" x14ac:dyDescent="0.45">
      <c r="A191" t="s">
        <v>1790</v>
      </c>
      <c r="B191" t="b">
        <f>IF(A191="WDS", COUNTIF($D:$D, D191) &gt; 1, "")</f>
        <v>1</v>
      </c>
      <c r="C191" s="1">
        <v>101870641</v>
      </c>
      <c r="D191" t="s">
        <v>1038</v>
      </c>
      <c r="E191" t="s">
        <v>21</v>
      </c>
      <c r="F191" t="s">
        <v>1039</v>
      </c>
      <c r="G191" t="s">
        <v>557</v>
      </c>
      <c r="H191" t="s">
        <v>1040</v>
      </c>
      <c r="I191" t="s">
        <v>1041</v>
      </c>
      <c r="J191" t="s">
        <v>2312</v>
      </c>
      <c r="K191" t="s">
        <v>2312</v>
      </c>
      <c r="L191" t="s">
        <v>1042</v>
      </c>
      <c r="M191" t="s">
        <v>1042</v>
      </c>
      <c r="N191" t="b">
        <v>1</v>
      </c>
      <c r="O191" t="b">
        <v>1</v>
      </c>
      <c r="P191" t="b">
        <v>0</v>
      </c>
    </row>
    <row r="192" spans="1:16" x14ac:dyDescent="0.45">
      <c r="A192" t="s">
        <v>1790</v>
      </c>
      <c r="B192" t="b">
        <f>IF(A192="WDS", COUNTIF($D:$D, D192) &gt; 1, "")</f>
        <v>0</v>
      </c>
      <c r="C192" s="1">
        <v>101834546</v>
      </c>
      <c r="D192" t="s">
        <v>1043</v>
      </c>
      <c r="E192" t="s">
        <v>21</v>
      </c>
      <c r="F192" t="s">
        <v>523</v>
      </c>
      <c r="G192" t="s">
        <v>524</v>
      </c>
      <c r="H192" t="s">
        <v>1044</v>
      </c>
      <c r="I192" t="s">
        <v>1045</v>
      </c>
      <c r="J192" t="s">
        <v>2249</v>
      </c>
      <c r="K192" t="s">
        <v>2249</v>
      </c>
      <c r="L192" t="s">
        <v>755</v>
      </c>
      <c r="M192" t="s">
        <v>755</v>
      </c>
      <c r="N192" t="b">
        <v>1</v>
      </c>
      <c r="O192" t="b">
        <v>1</v>
      </c>
      <c r="P192" t="b">
        <v>0</v>
      </c>
    </row>
    <row r="193" spans="1:16" x14ac:dyDescent="0.45">
      <c r="A193" t="s">
        <v>1790</v>
      </c>
      <c r="B193" t="b">
        <f>IF(A193="WDS", COUNTIF($D:$D, D193) &gt; 1, "")</f>
        <v>0</v>
      </c>
      <c r="C193" s="1">
        <v>101832345</v>
      </c>
      <c r="D193" t="s">
        <v>1046</v>
      </c>
      <c r="E193" t="s">
        <v>21</v>
      </c>
      <c r="F193" t="s">
        <v>1047</v>
      </c>
      <c r="G193" t="s">
        <v>195</v>
      </c>
      <c r="H193" t="s">
        <v>1048</v>
      </c>
      <c r="I193" t="s">
        <v>1049</v>
      </c>
      <c r="J193" t="s">
        <v>2313</v>
      </c>
      <c r="K193" t="s">
        <v>2314</v>
      </c>
      <c r="L193" t="s">
        <v>1050</v>
      </c>
      <c r="M193" t="s">
        <v>1051</v>
      </c>
      <c r="N193" t="b">
        <v>1</v>
      </c>
      <c r="O193" t="b">
        <v>1</v>
      </c>
      <c r="P193" t="b">
        <v>0</v>
      </c>
    </row>
    <row r="194" spans="1:16" x14ac:dyDescent="0.45">
      <c r="A194" t="s">
        <v>1790</v>
      </c>
      <c r="B194" t="b">
        <f>IF(A194="WDS", COUNTIF($D:$D, D194) &gt; 1, "")</f>
        <v>1</v>
      </c>
      <c r="C194" s="1">
        <v>101820013</v>
      </c>
      <c r="D194" t="s">
        <v>1052</v>
      </c>
      <c r="E194" t="s">
        <v>21</v>
      </c>
      <c r="F194" t="s">
        <v>1053</v>
      </c>
      <c r="G194" t="s">
        <v>563</v>
      </c>
      <c r="H194" t="s">
        <v>1054</v>
      </c>
      <c r="I194" t="s">
        <v>1055</v>
      </c>
      <c r="J194" t="s">
        <v>2315</v>
      </c>
      <c r="K194" t="s">
        <v>2315</v>
      </c>
      <c r="L194" t="s">
        <v>1056</v>
      </c>
      <c r="M194" t="s">
        <v>1056</v>
      </c>
      <c r="N194" t="b">
        <v>1</v>
      </c>
      <c r="O194" t="b">
        <v>1</v>
      </c>
      <c r="P194" t="b">
        <v>0</v>
      </c>
    </row>
    <row r="195" spans="1:16" x14ac:dyDescent="0.45">
      <c r="A195" t="s">
        <v>1790</v>
      </c>
      <c r="B195" t="b">
        <f>IF(A195="WDS", COUNTIF($D:$D, D195) &gt; 1, "")</f>
        <v>0</v>
      </c>
      <c r="C195" s="1">
        <v>101819809</v>
      </c>
      <c r="D195" t="s">
        <v>1057</v>
      </c>
      <c r="E195" t="s">
        <v>21</v>
      </c>
      <c r="F195" t="s">
        <v>1058</v>
      </c>
      <c r="G195" t="s">
        <v>501</v>
      </c>
      <c r="H195" t="s">
        <v>1059</v>
      </c>
      <c r="I195" t="s">
        <v>1060</v>
      </c>
      <c r="J195" t="s">
        <v>2316</v>
      </c>
      <c r="K195" t="s">
        <v>2316</v>
      </c>
      <c r="L195" t="s">
        <v>1061</v>
      </c>
      <c r="M195" t="s">
        <v>1061</v>
      </c>
      <c r="N195" t="b">
        <v>1</v>
      </c>
      <c r="O195" t="b">
        <v>1</v>
      </c>
      <c r="P195" t="b">
        <v>0</v>
      </c>
    </row>
    <row r="196" spans="1:16" x14ac:dyDescent="0.45">
      <c r="A196" t="s">
        <v>1790</v>
      </c>
      <c r="B196" t="b">
        <f>IF(A196="WDS", COUNTIF($D:$D, D196) &gt; 1, "")</f>
        <v>0</v>
      </c>
      <c r="C196" s="1">
        <v>101819658</v>
      </c>
      <c r="D196" t="s">
        <v>1062</v>
      </c>
      <c r="E196" t="s">
        <v>21</v>
      </c>
      <c r="F196" t="s">
        <v>1063</v>
      </c>
      <c r="G196" t="s">
        <v>228</v>
      </c>
      <c r="H196" t="s">
        <v>1064</v>
      </c>
      <c r="I196" t="s">
        <v>1065</v>
      </c>
      <c r="J196" t="s">
        <v>2317</v>
      </c>
      <c r="K196" t="s">
        <v>2317</v>
      </c>
      <c r="L196" t="s">
        <v>1066</v>
      </c>
      <c r="M196" t="s">
        <v>1066</v>
      </c>
      <c r="N196" t="b">
        <v>1</v>
      </c>
      <c r="O196" t="b">
        <v>1</v>
      </c>
      <c r="P196" t="b">
        <v>0</v>
      </c>
    </row>
    <row r="197" spans="1:16" x14ac:dyDescent="0.45">
      <c r="A197" t="s">
        <v>1790</v>
      </c>
      <c r="B197" t="b">
        <f>IF(A197="WDS", COUNTIF($D:$D, D197) &gt; 1, "")</f>
        <v>0</v>
      </c>
      <c r="C197" s="1">
        <v>101816097</v>
      </c>
      <c r="D197" t="s">
        <v>1067</v>
      </c>
      <c r="E197" t="s">
        <v>21</v>
      </c>
      <c r="F197" t="s">
        <v>1068</v>
      </c>
      <c r="G197" t="s">
        <v>114</v>
      </c>
      <c r="H197" t="s">
        <v>1069</v>
      </c>
      <c r="I197" t="s">
        <v>1070</v>
      </c>
      <c r="J197" t="s">
        <v>2318</v>
      </c>
      <c r="K197" t="s">
        <v>2318</v>
      </c>
      <c r="L197" t="s">
        <v>1071</v>
      </c>
      <c r="M197" t="s">
        <v>1071</v>
      </c>
      <c r="N197" t="b">
        <v>1</v>
      </c>
      <c r="O197" t="b">
        <v>1</v>
      </c>
      <c r="P197" t="b">
        <v>0</v>
      </c>
    </row>
    <row r="198" spans="1:16" x14ac:dyDescent="0.45">
      <c r="A198" t="s">
        <v>1790</v>
      </c>
      <c r="B198" t="b">
        <f>IF(A198="WDS", COUNTIF($D:$D, D198) &gt; 1, "")</f>
        <v>1</v>
      </c>
      <c r="C198" s="1">
        <v>101777465</v>
      </c>
      <c r="D198" t="s">
        <v>983</v>
      </c>
      <c r="E198" t="s">
        <v>21</v>
      </c>
      <c r="F198" t="s">
        <v>984</v>
      </c>
      <c r="G198" t="s">
        <v>152</v>
      </c>
      <c r="H198" t="s">
        <v>1072</v>
      </c>
      <c r="I198" t="s">
        <v>1073</v>
      </c>
      <c r="J198" t="s">
        <v>2298</v>
      </c>
      <c r="K198" t="s">
        <v>2249</v>
      </c>
      <c r="L198" t="s">
        <v>982</v>
      </c>
      <c r="M198" t="s">
        <v>755</v>
      </c>
      <c r="N198" t="b">
        <v>1</v>
      </c>
      <c r="O198" t="b">
        <v>1</v>
      </c>
      <c r="P198" t="b">
        <v>0</v>
      </c>
    </row>
    <row r="199" spans="1:16" x14ac:dyDescent="0.45">
      <c r="A199" t="s">
        <v>1790</v>
      </c>
      <c r="B199" t="b">
        <f>IF(A199="WDS", COUNTIF($D:$D, D199) &gt; 1, "")</f>
        <v>1</v>
      </c>
      <c r="C199" s="1">
        <v>101773155</v>
      </c>
      <c r="D199" t="s">
        <v>1074</v>
      </c>
      <c r="E199" t="s">
        <v>21</v>
      </c>
      <c r="F199" t="s">
        <v>1075</v>
      </c>
      <c r="G199" t="s">
        <v>1076</v>
      </c>
      <c r="H199" t="s">
        <v>1077</v>
      </c>
      <c r="I199" t="s">
        <v>1078</v>
      </c>
      <c r="J199" t="s">
        <v>2319</v>
      </c>
      <c r="K199" t="s">
        <v>2319</v>
      </c>
      <c r="L199" t="s">
        <v>1079</v>
      </c>
      <c r="M199" t="s">
        <v>1079</v>
      </c>
      <c r="N199" t="b">
        <v>1</v>
      </c>
      <c r="O199" t="b">
        <v>1</v>
      </c>
      <c r="P199" t="b">
        <v>0</v>
      </c>
    </row>
    <row r="200" spans="1:16" x14ac:dyDescent="0.45">
      <c r="A200" t="s">
        <v>1790</v>
      </c>
      <c r="B200" t="b">
        <f>IF(A200="WDS", COUNTIF($D:$D, D200) &gt; 1, "")</f>
        <v>0</v>
      </c>
      <c r="C200" s="1">
        <v>101697988</v>
      </c>
      <c r="D200" t="s">
        <v>1080</v>
      </c>
      <c r="E200" t="s">
        <v>21</v>
      </c>
      <c r="F200" t="s">
        <v>536</v>
      </c>
      <c r="G200" t="s">
        <v>228</v>
      </c>
      <c r="H200" t="s">
        <v>1081</v>
      </c>
      <c r="I200" t="s">
        <v>1082</v>
      </c>
      <c r="J200" t="s">
        <v>2320</v>
      </c>
      <c r="K200" t="s">
        <v>2320</v>
      </c>
      <c r="L200" t="s">
        <v>1083</v>
      </c>
      <c r="M200" t="s">
        <v>1083</v>
      </c>
      <c r="N200" t="b">
        <v>1</v>
      </c>
      <c r="O200" t="b">
        <v>1</v>
      </c>
      <c r="P200" t="b">
        <v>0</v>
      </c>
    </row>
    <row r="201" spans="1:16" x14ac:dyDescent="0.45">
      <c r="A201" t="s">
        <v>1790</v>
      </c>
      <c r="B201" t="b">
        <f>IF(A201="WDS", COUNTIF($D:$D, D201) &gt; 1, "")</f>
        <v>0</v>
      </c>
      <c r="C201" s="1">
        <v>101697983</v>
      </c>
      <c r="D201" t="s">
        <v>1084</v>
      </c>
      <c r="E201" t="s">
        <v>21</v>
      </c>
      <c r="F201" t="s">
        <v>1085</v>
      </c>
      <c r="G201" t="s">
        <v>396</v>
      </c>
      <c r="H201" t="s">
        <v>1086</v>
      </c>
      <c r="I201" t="s">
        <v>1087</v>
      </c>
      <c r="J201" t="s">
        <v>2320</v>
      </c>
      <c r="K201" t="s">
        <v>2320</v>
      </c>
      <c r="L201" t="s">
        <v>1083</v>
      </c>
      <c r="M201" t="s">
        <v>1083</v>
      </c>
      <c r="N201" t="b">
        <v>1</v>
      </c>
      <c r="O201" t="b">
        <v>1</v>
      </c>
      <c r="P201" t="b">
        <v>0</v>
      </c>
    </row>
    <row r="202" spans="1:16" x14ac:dyDescent="0.45">
      <c r="A202" t="s">
        <v>1790</v>
      </c>
      <c r="B202" t="b">
        <f>IF(A202="WDS", COUNTIF($D:$D, D202) &gt; 1, "")</f>
        <v>0</v>
      </c>
      <c r="C202" s="1">
        <v>101694683</v>
      </c>
      <c r="D202" t="s">
        <v>1088</v>
      </c>
      <c r="E202" t="s">
        <v>21</v>
      </c>
      <c r="F202" t="s">
        <v>1089</v>
      </c>
      <c r="G202" t="s">
        <v>1090</v>
      </c>
      <c r="H202" t="s">
        <v>1091</v>
      </c>
      <c r="I202" t="s">
        <v>1092</v>
      </c>
      <c r="J202" t="s">
        <v>2321</v>
      </c>
      <c r="K202" t="s">
        <v>2322</v>
      </c>
      <c r="L202" t="s">
        <v>1093</v>
      </c>
      <c r="M202" t="s">
        <v>1094</v>
      </c>
      <c r="N202" t="b">
        <v>1</v>
      </c>
      <c r="O202" t="b">
        <v>0</v>
      </c>
      <c r="P202" t="b">
        <v>0</v>
      </c>
    </row>
    <row r="203" spans="1:16" x14ac:dyDescent="0.45">
      <c r="A203" t="s">
        <v>1790</v>
      </c>
      <c r="B203" t="b">
        <f>IF(A203="WDS", COUNTIF($D:$D, D203) &gt; 1, "")</f>
        <v>0</v>
      </c>
      <c r="C203" s="1">
        <v>101691306</v>
      </c>
      <c r="D203" t="s">
        <v>1095</v>
      </c>
      <c r="E203" t="s">
        <v>21</v>
      </c>
      <c r="F203" t="s">
        <v>1096</v>
      </c>
      <c r="G203" t="s">
        <v>1097</v>
      </c>
      <c r="H203" t="s">
        <v>1098</v>
      </c>
      <c r="I203" t="s">
        <v>1099</v>
      </c>
      <c r="J203" t="s">
        <v>2322</v>
      </c>
      <c r="K203" t="s">
        <v>2321</v>
      </c>
      <c r="L203" t="s">
        <v>1094</v>
      </c>
      <c r="M203" t="s">
        <v>1093</v>
      </c>
      <c r="N203" t="b">
        <v>1</v>
      </c>
      <c r="O203" t="b">
        <v>1</v>
      </c>
      <c r="P203" t="b">
        <v>0</v>
      </c>
    </row>
    <row r="204" spans="1:16" x14ac:dyDescent="0.45">
      <c r="A204" t="s">
        <v>1790</v>
      </c>
      <c r="B204" t="b">
        <f>IF(A204="WDS", COUNTIF($D:$D, D204) &gt; 1, "")</f>
        <v>0</v>
      </c>
      <c r="C204" s="1">
        <v>101661152</v>
      </c>
      <c r="D204" t="s">
        <v>1100</v>
      </c>
      <c r="E204" t="s">
        <v>21</v>
      </c>
      <c r="F204" t="s">
        <v>523</v>
      </c>
      <c r="G204" t="s">
        <v>524</v>
      </c>
      <c r="H204" t="s">
        <v>753</v>
      </c>
      <c r="I204" t="s">
        <v>754</v>
      </c>
      <c r="J204" t="s">
        <v>2298</v>
      </c>
      <c r="K204" t="s">
        <v>2298</v>
      </c>
      <c r="L204" t="s">
        <v>982</v>
      </c>
      <c r="M204" t="s">
        <v>982</v>
      </c>
      <c r="N204" t="b">
        <v>1</v>
      </c>
      <c r="O204" t="b">
        <v>1</v>
      </c>
      <c r="P204" t="b">
        <v>0</v>
      </c>
    </row>
    <row r="205" spans="1:16" x14ac:dyDescent="0.45">
      <c r="A205" t="s">
        <v>1790</v>
      </c>
      <c r="B205" t="b">
        <f>IF(A205="WDS", COUNTIF($D:$D, D205) &gt; 1, "")</f>
        <v>0</v>
      </c>
      <c r="C205" s="1">
        <v>101595916</v>
      </c>
      <c r="D205" t="s">
        <v>1101</v>
      </c>
      <c r="E205" t="s">
        <v>21</v>
      </c>
      <c r="F205" t="s">
        <v>1102</v>
      </c>
      <c r="G205" t="s">
        <v>419</v>
      </c>
      <c r="H205" t="s">
        <v>1103</v>
      </c>
      <c r="I205" t="s">
        <v>1104</v>
      </c>
      <c r="J205" t="s">
        <v>2323</v>
      </c>
      <c r="K205" t="s">
        <v>2323</v>
      </c>
      <c r="L205" t="s">
        <v>1105</v>
      </c>
      <c r="M205" t="s">
        <v>1105</v>
      </c>
      <c r="N205" t="b">
        <v>1</v>
      </c>
      <c r="O205" t="b">
        <v>1</v>
      </c>
      <c r="P205" t="b">
        <v>0</v>
      </c>
    </row>
    <row r="206" spans="1:16" x14ac:dyDescent="0.45">
      <c r="A206" t="s">
        <v>1790</v>
      </c>
      <c r="B206" t="b">
        <f>IF(A206="WDS", COUNTIF($D:$D, D206) &gt; 1, "")</f>
        <v>0</v>
      </c>
      <c r="C206" s="1">
        <v>101591853</v>
      </c>
      <c r="D206" t="s">
        <v>1106</v>
      </c>
      <c r="E206" t="s">
        <v>21</v>
      </c>
      <c r="F206" t="s">
        <v>1107</v>
      </c>
      <c r="G206" t="s">
        <v>1108</v>
      </c>
      <c r="H206" t="s">
        <v>1109</v>
      </c>
      <c r="I206" t="s">
        <v>1110</v>
      </c>
      <c r="J206" t="s">
        <v>2249</v>
      </c>
      <c r="K206" t="s">
        <v>2249</v>
      </c>
      <c r="L206" t="s">
        <v>755</v>
      </c>
      <c r="M206" t="s">
        <v>755</v>
      </c>
      <c r="N206" t="b">
        <v>1</v>
      </c>
      <c r="O206" t="b">
        <v>1</v>
      </c>
      <c r="P206" t="b">
        <v>0</v>
      </c>
    </row>
    <row r="207" spans="1:16" x14ac:dyDescent="0.45">
      <c r="A207" t="s">
        <v>1790</v>
      </c>
      <c r="B207" t="b">
        <f>IF(A207="WDS", COUNTIF($D:$D, D207) &gt; 1, "")</f>
        <v>1</v>
      </c>
      <c r="C207" s="1">
        <v>101591664</v>
      </c>
      <c r="D207" t="s">
        <v>1111</v>
      </c>
      <c r="E207" t="s">
        <v>21</v>
      </c>
      <c r="F207" t="s">
        <v>1112</v>
      </c>
      <c r="G207" t="s">
        <v>557</v>
      </c>
      <c r="H207" t="s">
        <v>1113</v>
      </c>
      <c r="I207" t="s">
        <v>1114</v>
      </c>
      <c r="J207" t="s">
        <v>2324</v>
      </c>
      <c r="K207" t="s">
        <v>2324</v>
      </c>
      <c r="L207" t="s">
        <v>1115</v>
      </c>
      <c r="M207" t="s">
        <v>1115</v>
      </c>
      <c r="N207" t="b">
        <v>1</v>
      </c>
      <c r="O207" t="b">
        <v>1</v>
      </c>
      <c r="P207" t="b">
        <v>0</v>
      </c>
    </row>
    <row r="208" spans="1:16" x14ac:dyDescent="0.45">
      <c r="A208" t="s">
        <v>1790</v>
      </c>
      <c r="B208" t="b">
        <f>IF(A208="WDS", COUNTIF($D:$D, D208) &gt; 1, "")</f>
        <v>0</v>
      </c>
      <c r="C208" s="1">
        <v>101591043</v>
      </c>
      <c r="D208" t="s">
        <v>1116</v>
      </c>
      <c r="E208" t="s">
        <v>21</v>
      </c>
      <c r="F208" t="s">
        <v>1117</v>
      </c>
      <c r="G208" t="s">
        <v>129</v>
      </c>
      <c r="H208" t="s">
        <v>1118</v>
      </c>
      <c r="I208" t="s">
        <v>1119</v>
      </c>
      <c r="J208" t="s">
        <v>2325</v>
      </c>
      <c r="K208" t="s">
        <v>2326</v>
      </c>
      <c r="L208" t="s">
        <v>1120</v>
      </c>
      <c r="M208" t="s">
        <v>1121</v>
      </c>
      <c r="N208" t="b">
        <v>1</v>
      </c>
      <c r="O208" t="b">
        <v>1</v>
      </c>
      <c r="P208" t="b">
        <v>0</v>
      </c>
    </row>
    <row r="209" spans="1:16" x14ac:dyDescent="0.45">
      <c r="A209" t="s">
        <v>1790</v>
      </c>
      <c r="B209" t="b">
        <f>IF(A209="WDS", COUNTIF($D:$D, D209) &gt; 1, "")</f>
        <v>0</v>
      </c>
      <c r="C209" s="1">
        <v>101588909</v>
      </c>
      <c r="D209" t="s">
        <v>1122</v>
      </c>
      <c r="E209" t="s">
        <v>21</v>
      </c>
      <c r="F209" t="s">
        <v>1123</v>
      </c>
      <c r="G209" t="s">
        <v>351</v>
      </c>
      <c r="H209" t="s">
        <v>1124</v>
      </c>
      <c r="I209" t="s">
        <v>1125</v>
      </c>
      <c r="J209" t="s">
        <v>2327</v>
      </c>
      <c r="K209" t="s">
        <v>2327</v>
      </c>
      <c r="L209" t="s">
        <v>1126</v>
      </c>
      <c r="M209" t="s">
        <v>1126</v>
      </c>
      <c r="N209" t="b">
        <v>1</v>
      </c>
      <c r="O209" t="b">
        <v>1</v>
      </c>
      <c r="P209" t="b">
        <v>0</v>
      </c>
    </row>
    <row r="210" spans="1:16" x14ac:dyDescent="0.45">
      <c r="A210" t="s">
        <v>1790</v>
      </c>
      <c r="B210" t="b">
        <f>IF(A210="WDS", COUNTIF($D:$D, D210) &gt; 1, "")</f>
        <v>0</v>
      </c>
      <c r="C210" s="1">
        <v>101556316</v>
      </c>
      <c r="D210" t="s">
        <v>1127</v>
      </c>
      <c r="E210" t="s">
        <v>21</v>
      </c>
      <c r="F210" t="s">
        <v>1128</v>
      </c>
      <c r="G210" t="s">
        <v>54</v>
      </c>
      <c r="H210" t="s">
        <v>1129</v>
      </c>
      <c r="I210" t="s">
        <v>1130</v>
      </c>
      <c r="J210" t="s">
        <v>2328</v>
      </c>
      <c r="K210" t="s">
        <v>2329</v>
      </c>
      <c r="L210" t="s">
        <v>1131</v>
      </c>
      <c r="M210" t="s">
        <v>1132</v>
      </c>
      <c r="N210" t="b">
        <v>1</v>
      </c>
      <c r="O210" t="b">
        <v>1</v>
      </c>
      <c r="P210" t="b">
        <v>0</v>
      </c>
    </row>
    <row r="211" spans="1:16" x14ac:dyDescent="0.45">
      <c r="A211" t="s">
        <v>1790</v>
      </c>
      <c r="B211" t="b">
        <f>IF(A211="WDS", COUNTIF($D:$D, D211) &gt; 1, "")</f>
        <v>0</v>
      </c>
      <c r="C211" s="1">
        <v>101553220</v>
      </c>
      <c r="D211" t="s">
        <v>1133</v>
      </c>
      <c r="E211" t="s">
        <v>21</v>
      </c>
      <c r="F211" t="s">
        <v>1134</v>
      </c>
      <c r="G211" t="s">
        <v>629</v>
      </c>
      <c r="H211" t="s">
        <v>1135</v>
      </c>
      <c r="I211" t="s">
        <v>1136</v>
      </c>
      <c r="J211" t="s">
        <v>2330</v>
      </c>
      <c r="K211" t="s">
        <v>2331</v>
      </c>
      <c r="L211" t="s">
        <v>1137</v>
      </c>
      <c r="M211" t="s">
        <v>1138</v>
      </c>
      <c r="N211" t="b">
        <v>1</v>
      </c>
      <c r="O211" t="b">
        <v>1</v>
      </c>
      <c r="P211" t="b">
        <v>0</v>
      </c>
    </row>
    <row r="212" spans="1:16" x14ac:dyDescent="0.45">
      <c r="A212" t="s">
        <v>1790</v>
      </c>
      <c r="B212" t="b">
        <f>IF(A212="WDS", COUNTIF($D:$D, D212) &gt; 1, "")</f>
        <v>0</v>
      </c>
      <c r="C212" s="1">
        <v>101542997</v>
      </c>
      <c r="D212" t="s">
        <v>1139</v>
      </c>
      <c r="E212" t="s">
        <v>21</v>
      </c>
      <c r="F212" t="s">
        <v>1140</v>
      </c>
      <c r="G212" t="s">
        <v>629</v>
      </c>
      <c r="H212" t="s">
        <v>1141</v>
      </c>
      <c r="I212" t="s">
        <v>1142</v>
      </c>
      <c r="J212" t="s">
        <v>2332</v>
      </c>
      <c r="K212" t="s">
        <v>2332</v>
      </c>
      <c r="L212" t="s">
        <v>1143</v>
      </c>
      <c r="M212" t="s">
        <v>1143</v>
      </c>
      <c r="N212" t="b">
        <v>1</v>
      </c>
      <c r="O212" t="b">
        <v>1</v>
      </c>
      <c r="P212" t="b">
        <v>0</v>
      </c>
    </row>
    <row r="213" spans="1:16" x14ac:dyDescent="0.45">
      <c r="A213" t="s">
        <v>1790</v>
      </c>
      <c r="B213" t="b">
        <f>IF(A213="WDS", COUNTIF($D:$D, D213) &gt; 1, "")</f>
        <v>0</v>
      </c>
      <c r="C213" s="1">
        <v>101542807</v>
      </c>
      <c r="D213" t="s">
        <v>1144</v>
      </c>
      <c r="E213" t="s">
        <v>21</v>
      </c>
      <c r="F213" t="s">
        <v>1145</v>
      </c>
      <c r="G213" t="s">
        <v>1146</v>
      </c>
      <c r="H213" t="s">
        <v>1147</v>
      </c>
      <c r="I213" t="s">
        <v>1148</v>
      </c>
      <c r="J213" t="s">
        <v>2333</v>
      </c>
      <c r="K213" t="s">
        <v>2333</v>
      </c>
      <c r="L213" t="s">
        <v>1149</v>
      </c>
      <c r="M213" t="s">
        <v>1149</v>
      </c>
      <c r="N213" t="b">
        <v>1</v>
      </c>
      <c r="O213" t="b">
        <v>1</v>
      </c>
      <c r="P213" t="b">
        <v>0</v>
      </c>
    </row>
    <row r="214" spans="1:16" x14ac:dyDescent="0.45">
      <c r="A214" t="s">
        <v>1790</v>
      </c>
      <c r="B214" t="b">
        <f>IF(A214="WDS", COUNTIF($D:$D, D214) &gt; 1, "")</f>
        <v>0</v>
      </c>
      <c r="C214" s="1">
        <v>101541968</v>
      </c>
      <c r="D214" t="s">
        <v>1150</v>
      </c>
      <c r="E214" t="s">
        <v>21</v>
      </c>
      <c r="F214" t="s">
        <v>1151</v>
      </c>
      <c r="G214" t="s">
        <v>311</v>
      </c>
      <c r="H214" t="s">
        <v>1152</v>
      </c>
      <c r="I214" t="s">
        <v>1153</v>
      </c>
      <c r="J214" t="s">
        <v>2334</v>
      </c>
      <c r="K214" t="s">
        <v>2335</v>
      </c>
      <c r="L214" t="s">
        <v>1154</v>
      </c>
      <c r="M214" t="s">
        <v>1155</v>
      </c>
      <c r="N214" t="b">
        <v>1</v>
      </c>
      <c r="O214" t="b">
        <v>1</v>
      </c>
      <c r="P214" t="b">
        <v>0</v>
      </c>
    </row>
    <row r="215" spans="1:16" x14ac:dyDescent="0.45">
      <c r="A215" t="s">
        <v>1790</v>
      </c>
      <c r="B215" t="b">
        <f>IF(A215="WDS", COUNTIF($D:$D, D215) &gt; 1, "")</f>
        <v>1</v>
      </c>
      <c r="C215" s="1">
        <v>101537406</v>
      </c>
      <c r="D215" t="s">
        <v>1156</v>
      </c>
      <c r="E215" t="s">
        <v>21</v>
      </c>
      <c r="F215" t="s">
        <v>1157</v>
      </c>
      <c r="G215" t="s">
        <v>1158</v>
      </c>
      <c r="H215" t="s">
        <v>1159</v>
      </c>
      <c r="I215" t="s">
        <v>1160</v>
      </c>
      <c r="J215" t="s">
        <v>2336</v>
      </c>
      <c r="K215" t="s">
        <v>2336</v>
      </c>
      <c r="L215" t="s">
        <v>1161</v>
      </c>
      <c r="M215" t="s">
        <v>1161</v>
      </c>
      <c r="N215" t="b">
        <v>1</v>
      </c>
      <c r="O215" t="b">
        <v>1</v>
      </c>
      <c r="P215" t="b">
        <v>0</v>
      </c>
    </row>
    <row r="216" spans="1:16" x14ac:dyDescent="0.45">
      <c r="A216" t="s">
        <v>1790</v>
      </c>
      <c r="B216" t="b">
        <f>IF(A216="WDS", COUNTIF($D:$D, D216) &gt; 1, "")</f>
        <v>0</v>
      </c>
      <c r="C216" s="1">
        <v>101534932</v>
      </c>
      <c r="D216" t="s">
        <v>1162</v>
      </c>
      <c r="E216" t="s">
        <v>21</v>
      </c>
      <c r="F216" t="s">
        <v>1163</v>
      </c>
      <c r="G216" t="s">
        <v>60</v>
      </c>
      <c r="H216" t="s">
        <v>1164</v>
      </c>
      <c r="I216" t="s">
        <v>1165</v>
      </c>
      <c r="J216" t="s">
        <v>2337</v>
      </c>
      <c r="K216" t="s">
        <v>2337</v>
      </c>
      <c r="L216" t="s">
        <v>1166</v>
      </c>
      <c r="M216" t="s">
        <v>1166</v>
      </c>
      <c r="N216" t="b">
        <v>1</v>
      </c>
      <c r="O216" t="b">
        <v>1</v>
      </c>
      <c r="P216" t="b">
        <v>0</v>
      </c>
    </row>
    <row r="217" spans="1:16" x14ac:dyDescent="0.45">
      <c r="A217" t="s">
        <v>1790</v>
      </c>
      <c r="B217" t="b">
        <f>IF(A217="WDS", COUNTIF($D:$D, D217) &gt; 1, "")</f>
        <v>0</v>
      </c>
      <c r="C217" s="1">
        <v>101532236</v>
      </c>
      <c r="D217" t="s">
        <v>1167</v>
      </c>
      <c r="E217" t="s">
        <v>21</v>
      </c>
      <c r="F217" t="s">
        <v>1168</v>
      </c>
      <c r="G217" t="s">
        <v>524</v>
      </c>
      <c r="H217" t="s">
        <v>1169</v>
      </c>
      <c r="I217" t="s">
        <v>1170</v>
      </c>
      <c r="J217" t="s">
        <v>2338</v>
      </c>
      <c r="K217" t="s">
        <v>2338</v>
      </c>
      <c r="L217" t="s">
        <v>1171</v>
      </c>
      <c r="M217" t="s">
        <v>1171</v>
      </c>
      <c r="N217" t="b">
        <v>1</v>
      </c>
      <c r="O217" t="b">
        <v>1</v>
      </c>
      <c r="P217" t="b">
        <v>0</v>
      </c>
    </row>
    <row r="218" spans="1:16" x14ac:dyDescent="0.45">
      <c r="A218" t="s">
        <v>1790</v>
      </c>
      <c r="B218" t="b">
        <f>IF(A218="WDS", COUNTIF($D:$D, D218) &gt; 1, "")</f>
        <v>0</v>
      </c>
      <c r="C218" s="1">
        <v>101521422</v>
      </c>
      <c r="D218" t="s">
        <v>1172</v>
      </c>
      <c r="E218" t="s">
        <v>21</v>
      </c>
      <c r="F218" t="s">
        <v>1173</v>
      </c>
      <c r="G218" t="s">
        <v>1174</v>
      </c>
      <c r="H218" t="s">
        <v>1175</v>
      </c>
      <c r="I218" t="s">
        <v>1176</v>
      </c>
      <c r="J218" t="s">
        <v>2339</v>
      </c>
      <c r="K218" t="s">
        <v>2339</v>
      </c>
      <c r="L218" t="s">
        <v>1177</v>
      </c>
      <c r="M218" t="s">
        <v>1177</v>
      </c>
      <c r="N218" t="b">
        <v>1</v>
      </c>
      <c r="O218" t="b">
        <v>1</v>
      </c>
      <c r="P218" t="b">
        <v>0</v>
      </c>
    </row>
    <row r="219" spans="1:16" x14ac:dyDescent="0.45">
      <c r="A219" t="s">
        <v>1790</v>
      </c>
      <c r="B219" t="b">
        <f>IF(A219="WDS", COUNTIF($D:$D, D219) &gt; 1, "")</f>
        <v>1</v>
      </c>
      <c r="C219" s="1">
        <v>101511893</v>
      </c>
      <c r="D219" t="s">
        <v>1178</v>
      </c>
      <c r="E219" t="s">
        <v>21</v>
      </c>
      <c r="F219" t="s">
        <v>1179</v>
      </c>
      <c r="G219" t="s">
        <v>1180</v>
      </c>
      <c r="H219" t="s">
        <v>1181</v>
      </c>
      <c r="I219" t="s">
        <v>1182</v>
      </c>
      <c r="J219" t="s">
        <v>2340</v>
      </c>
      <c r="K219" t="s">
        <v>2341</v>
      </c>
      <c r="L219" t="s">
        <v>1183</v>
      </c>
      <c r="M219" t="s">
        <v>1184</v>
      </c>
      <c r="N219" t="b">
        <v>1</v>
      </c>
      <c r="O219" t="b">
        <v>1</v>
      </c>
      <c r="P219" t="b">
        <v>0</v>
      </c>
    </row>
    <row r="220" spans="1:16" x14ac:dyDescent="0.45">
      <c r="A220" t="s">
        <v>1790</v>
      </c>
      <c r="B220" t="b">
        <f>IF(A220="WDS", COUNTIF($D:$D, D220) &gt; 1, "")</f>
        <v>0</v>
      </c>
      <c r="C220" s="1">
        <v>101486984</v>
      </c>
      <c r="D220" t="s">
        <v>1185</v>
      </c>
      <c r="E220" t="s">
        <v>21</v>
      </c>
      <c r="F220" t="s">
        <v>1186</v>
      </c>
      <c r="G220" t="s">
        <v>847</v>
      </c>
      <c r="H220" t="s">
        <v>1187</v>
      </c>
      <c r="I220" t="s">
        <v>1188</v>
      </c>
      <c r="J220" t="s">
        <v>2342</v>
      </c>
      <c r="K220" t="s">
        <v>2342</v>
      </c>
      <c r="L220" t="s">
        <v>1189</v>
      </c>
      <c r="M220" t="s">
        <v>1189</v>
      </c>
      <c r="N220" t="b">
        <v>1</v>
      </c>
      <c r="O220" t="b">
        <v>1</v>
      </c>
      <c r="P220" t="b">
        <v>0</v>
      </c>
    </row>
    <row r="221" spans="1:16" x14ac:dyDescent="0.45">
      <c r="A221" t="s">
        <v>1790</v>
      </c>
      <c r="B221" t="b">
        <f>IF(A221="WDS", COUNTIF($D:$D, D221) &gt; 1, "")</f>
        <v>0</v>
      </c>
      <c r="C221" s="1">
        <v>101483032</v>
      </c>
      <c r="D221" t="s">
        <v>1190</v>
      </c>
      <c r="E221" t="s">
        <v>21</v>
      </c>
      <c r="F221" t="s">
        <v>1191</v>
      </c>
      <c r="G221" t="s">
        <v>1192</v>
      </c>
      <c r="H221" t="s">
        <v>1193</v>
      </c>
      <c r="I221" t="s">
        <v>1194</v>
      </c>
      <c r="J221" t="s">
        <v>2343</v>
      </c>
      <c r="K221" t="s">
        <v>2343</v>
      </c>
      <c r="L221" t="s">
        <v>1195</v>
      </c>
      <c r="M221" t="s">
        <v>1195</v>
      </c>
      <c r="N221" t="b">
        <v>1</v>
      </c>
      <c r="O221" t="b">
        <v>1</v>
      </c>
      <c r="P221" t="b">
        <v>0</v>
      </c>
    </row>
    <row r="222" spans="1:16" x14ac:dyDescent="0.45">
      <c r="A222" t="s">
        <v>1790</v>
      </c>
      <c r="B222" t="b">
        <f>IF(A222="WDS", COUNTIF($D:$D, D222) &gt; 1, "")</f>
        <v>0</v>
      </c>
      <c r="C222" s="1">
        <v>101477498</v>
      </c>
      <c r="D222" t="s">
        <v>1196</v>
      </c>
      <c r="E222" t="s">
        <v>21</v>
      </c>
      <c r="F222" t="s">
        <v>1197</v>
      </c>
      <c r="G222" t="s">
        <v>146</v>
      </c>
      <c r="H222" t="s">
        <v>1198</v>
      </c>
      <c r="I222" t="s">
        <v>1199</v>
      </c>
      <c r="J222" t="s">
        <v>2344</v>
      </c>
      <c r="K222" t="s">
        <v>2344</v>
      </c>
      <c r="L222" t="s">
        <v>1200</v>
      </c>
      <c r="M222" t="s">
        <v>1200</v>
      </c>
      <c r="N222" t="b">
        <v>1</v>
      </c>
      <c r="O222" t="b">
        <v>1</v>
      </c>
      <c r="P222" t="b">
        <v>0</v>
      </c>
    </row>
    <row r="223" spans="1:16" x14ac:dyDescent="0.45">
      <c r="A223" t="s">
        <v>1790</v>
      </c>
      <c r="B223" t="b">
        <f>IF(A223="WDS", COUNTIF($D:$D, D223) &gt; 1, "")</f>
        <v>0</v>
      </c>
      <c r="C223" s="1">
        <v>101477258</v>
      </c>
      <c r="D223" t="s">
        <v>1201</v>
      </c>
      <c r="E223" t="s">
        <v>21</v>
      </c>
      <c r="F223" t="s">
        <v>1202</v>
      </c>
      <c r="G223" t="s">
        <v>345</v>
      </c>
      <c r="H223" t="s">
        <v>1203</v>
      </c>
      <c r="I223" t="s">
        <v>1204</v>
      </c>
      <c r="J223" t="s">
        <v>2345</v>
      </c>
      <c r="K223" t="s">
        <v>2345</v>
      </c>
      <c r="L223" t="s">
        <v>1205</v>
      </c>
      <c r="M223" t="s">
        <v>1205</v>
      </c>
      <c r="N223" t="b">
        <v>1</v>
      </c>
      <c r="O223" t="b">
        <v>1</v>
      </c>
      <c r="P223" t="b">
        <v>0</v>
      </c>
    </row>
    <row r="224" spans="1:16" x14ac:dyDescent="0.45">
      <c r="A224" t="s">
        <v>1790</v>
      </c>
      <c r="B224" t="b">
        <f>IF(A224="WDS", COUNTIF($D:$D, D224) &gt; 1, "")</f>
        <v>0</v>
      </c>
      <c r="C224" s="1">
        <v>101476163</v>
      </c>
      <c r="D224" t="s">
        <v>1206</v>
      </c>
      <c r="E224" t="s">
        <v>21</v>
      </c>
      <c r="F224" t="s">
        <v>1207</v>
      </c>
      <c r="G224" t="s">
        <v>78</v>
      </c>
      <c r="H224" t="s">
        <v>1208</v>
      </c>
      <c r="I224" t="s">
        <v>1209</v>
      </c>
      <c r="J224" t="s">
        <v>2346</v>
      </c>
      <c r="K224" t="s">
        <v>2346</v>
      </c>
      <c r="L224" t="s">
        <v>1210</v>
      </c>
      <c r="M224" t="s">
        <v>1210</v>
      </c>
      <c r="N224" t="b">
        <v>1</v>
      </c>
      <c r="O224" t="b">
        <v>1</v>
      </c>
      <c r="P224" t="b">
        <v>0</v>
      </c>
    </row>
    <row r="225" spans="1:16" x14ac:dyDescent="0.45">
      <c r="A225" t="s">
        <v>1790</v>
      </c>
      <c r="B225" t="b">
        <f>IF(A225="WDS", COUNTIF($D:$D, D225) &gt; 1, "")</f>
        <v>0</v>
      </c>
      <c r="C225" s="1">
        <v>101472233</v>
      </c>
      <c r="D225" t="s">
        <v>1211</v>
      </c>
      <c r="E225" t="s">
        <v>21</v>
      </c>
      <c r="F225" t="s">
        <v>1212</v>
      </c>
      <c r="G225" t="s">
        <v>1213</v>
      </c>
      <c r="H225" t="s">
        <v>1214</v>
      </c>
      <c r="I225" t="s">
        <v>1215</v>
      </c>
      <c r="J225" t="s">
        <v>2347</v>
      </c>
      <c r="K225" t="s">
        <v>2347</v>
      </c>
      <c r="L225" t="s">
        <v>1216</v>
      </c>
      <c r="M225" t="s">
        <v>1216</v>
      </c>
      <c r="N225" t="b">
        <v>1</v>
      </c>
      <c r="O225" t="b">
        <v>1</v>
      </c>
      <c r="P225" t="b">
        <v>0</v>
      </c>
    </row>
    <row r="226" spans="1:16" x14ac:dyDescent="0.45">
      <c r="A226" t="s">
        <v>1790</v>
      </c>
      <c r="B226" t="b">
        <f>IF(A226="WDS", COUNTIF($D:$D, D226) &gt; 1, "")</f>
        <v>0</v>
      </c>
      <c r="C226" s="1">
        <v>101471274</v>
      </c>
      <c r="D226" t="s">
        <v>1217</v>
      </c>
      <c r="E226" t="s">
        <v>21</v>
      </c>
      <c r="F226" t="s">
        <v>1218</v>
      </c>
      <c r="G226" t="s">
        <v>97</v>
      </c>
      <c r="H226" t="s">
        <v>1219</v>
      </c>
      <c r="I226" t="s">
        <v>1220</v>
      </c>
      <c r="J226" t="s">
        <v>2348</v>
      </c>
      <c r="K226" t="s">
        <v>2349</v>
      </c>
      <c r="L226" t="s">
        <v>1221</v>
      </c>
      <c r="M226" t="s">
        <v>1222</v>
      </c>
      <c r="N226" t="b">
        <v>1</v>
      </c>
      <c r="O226" t="b">
        <v>1</v>
      </c>
      <c r="P226" t="b">
        <v>0</v>
      </c>
    </row>
    <row r="227" spans="1:16" x14ac:dyDescent="0.45">
      <c r="A227" t="s">
        <v>1790</v>
      </c>
      <c r="B227" t="b">
        <f>IF(A227="WDS", COUNTIF($D:$D, D227) &gt; 1, "")</f>
        <v>0</v>
      </c>
      <c r="C227" s="1">
        <v>101462805</v>
      </c>
      <c r="D227" t="s">
        <v>1223</v>
      </c>
      <c r="E227" t="s">
        <v>21</v>
      </c>
      <c r="F227" t="s">
        <v>1224</v>
      </c>
      <c r="G227" t="s">
        <v>1225</v>
      </c>
      <c r="H227" t="s">
        <v>1226</v>
      </c>
      <c r="I227" t="s">
        <v>1227</v>
      </c>
      <c r="J227" t="s">
        <v>2350</v>
      </c>
      <c r="K227" t="s">
        <v>2350</v>
      </c>
      <c r="L227" t="s">
        <v>1228</v>
      </c>
      <c r="M227" t="s">
        <v>1228</v>
      </c>
      <c r="N227" t="b">
        <v>1</v>
      </c>
      <c r="O227" t="b">
        <v>1</v>
      </c>
      <c r="P227" t="b">
        <v>0</v>
      </c>
    </row>
    <row r="228" spans="1:16" x14ac:dyDescent="0.45">
      <c r="A228" t="s">
        <v>1790</v>
      </c>
      <c r="B228" t="b">
        <f>IF(A228="WDS", COUNTIF($D:$D, D228) &gt; 1, "")</f>
        <v>0</v>
      </c>
      <c r="C228" s="1">
        <v>101460392</v>
      </c>
      <c r="D228" t="s">
        <v>1229</v>
      </c>
      <c r="E228" t="s">
        <v>21</v>
      </c>
      <c r="F228" t="s">
        <v>1230</v>
      </c>
      <c r="G228" t="s">
        <v>1076</v>
      </c>
      <c r="H228" t="s">
        <v>1231</v>
      </c>
      <c r="I228" t="s">
        <v>1232</v>
      </c>
      <c r="J228" t="s">
        <v>2351</v>
      </c>
      <c r="K228" t="s">
        <v>2352</v>
      </c>
      <c r="L228" t="s">
        <v>1233</v>
      </c>
      <c r="M228" t="s">
        <v>1234</v>
      </c>
      <c r="N228" t="b">
        <v>1</v>
      </c>
      <c r="O228" t="b">
        <v>1</v>
      </c>
      <c r="P228" t="b">
        <v>0</v>
      </c>
    </row>
    <row r="229" spans="1:16" x14ac:dyDescent="0.45">
      <c r="A229" t="s">
        <v>1790</v>
      </c>
      <c r="B229" t="b">
        <f>IF(A229="WDS", COUNTIF($D:$D, D229) &gt; 1, "")</f>
        <v>0</v>
      </c>
      <c r="C229" s="1">
        <v>101433012</v>
      </c>
      <c r="D229" t="s">
        <v>1235</v>
      </c>
      <c r="E229" t="s">
        <v>21</v>
      </c>
      <c r="F229" t="s">
        <v>1236</v>
      </c>
      <c r="G229" t="s">
        <v>1237</v>
      </c>
      <c r="H229" t="s">
        <v>1238</v>
      </c>
      <c r="I229" t="s">
        <v>1239</v>
      </c>
      <c r="J229" t="s">
        <v>2353</v>
      </c>
      <c r="K229" t="s">
        <v>2353</v>
      </c>
      <c r="L229" t="s">
        <v>1240</v>
      </c>
      <c r="M229" t="s">
        <v>1240</v>
      </c>
      <c r="N229" t="b">
        <v>1</v>
      </c>
      <c r="O229" t="b">
        <v>1</v>
      </c>
      <c r="P229" t="b">
        <v>0</v>
      </c>
    </row>
    <row r="230" spans="1:16" x14ac:dyDescent="0.45">
      <c r="A230" t="s">
        <v>1790</v>
      </c>
      <c r="B230" t="b">
        <f>IF(A230="WDS", COUNTIF($D:$D, D230) &gt; 1, "")</f>
        <v>1</v>
      </c>
      <c r="C230" s="1">
        <v>101416366</v>
      </c>
      <c r="D230" t="s">
        <v>1241</v>
      </c>
      <c r="E230" t="s">
        <v>21</v>
      </c>
      <c r="F230" t="s">
        <v>1242</v>
      </c>
      <c r="G230" t="s">
        <v>932</v>
      </c>
      <c r="H230" t="s">
        <v>1243</v>
      </c>
      <c r="I230" t="s">
        <v>1244</v>
      </c>
      <c r="J230" t="s">
        <v>2354</v>
      </c>
      <c r="K230" t="s">
        <v>2354</v>
      </c>
      <c r="L230" t="s">
        <v>1245</v>
      </c>
      <c r="M230" t="s">
        <v>1245</v>
      </c>
      <c r="N230" t="b">
        <v>1</v>
      </c>
      <c r="O230" t="b">
        <v>1</v>
      </c>
      <c r="P230" t="b">
        <v>0</v>
      </c>
    </row>
    <row r="231" spans="1:16" x14ac:dyDescent="0.45">
      <c r="A231" t="s">
        <v>1790</v>
      </c>
      <c r="B231" t="b">
        <f>IF(A231="WDS", COUNTIF($D:$D, D231) &gt; 1, "")</f>
        <v>0</v>
      </c>
      <c r="C231" s="1">
        <v>101413389</v>
      </c>
      <c r="D231" t="s">
        <v>1246</v>
      </c>
      <c r="E231" t="s">
        <v>21</v>
      </c>
      <c r="F231" t="s">
        <v>1247</v>
      </c>
      <c r="G231" t="s">
        <v>188</v>
      </c>
      <c r="H231" t="s">
        <v>1248</v>
      </c>
      <c r="I231" t="s">
        <v>1249</v>
      </c>
      <c r="J231" t="s">
        <v>2355</v>
      </c>
      <c r="K231" t="s">
        <v>2355</v>
      </c>
      <c r="L231" t="s">
        <v>1250</v>
      </c>
      <c r="M231" t="s">
        <v>1250</v>
      </c>
      <c r="N231" t="b">
        <v>1</v>
      </c>
      <c r="O231" t="b">
        <v>1</v>
      </c>
      <c r="P231" t="b">
        <v>0</v>
      </c>
    </row>
    <row r="232" spans="1:16" x14ac:dyDescent="0.45">
      <c r="A232" t="s">
        <v>1790</v>
      </c>
      <c r="B232" t="b">
        <f>IF(A232="WDS", COUNTIF($D:$D, D232) &gt; 1, "")</f>
        <v>1</v>
      </c>
      <c r="C232" s="1">
        <v>101409228</v>
      </c>
      <c r="D232" t="s">
        <v>1022</v>
      </c>
      <c r="E232" t="s">
        <v>21</v>
      </c>
      <c r="F232" t="s">
        <v>1023</v>
      </c>
      <c r="G232" t="s">
        <v>15</v>
      </c>
      <c r="H232" t="s">
        <v>1251</v>
      </c>
      <c r="I232" t="s">
        <v>1252</v>
      </c>
      <c r="J232" t="s">
        <v>2309</v>
      </c>
      <c r="K232" t="s">
        <v>2309</v>
      </c>
      <c r="L232" t="s">
        <v>1026</v>
      </c>
      <c r="M232" t="s">
        <v>1026</v>
      </c>
      <c r="N232" t="b">
        <v>1</v>
      </c>
      <c r="O232" t="b">
        <v>1</v>
      </c>
      <c r="P232" t="b">
        <v>0</v>
      </c>
    </row>
    <row r="233" spans="1:16" x14ac:dyDescent="0.45">
      <c r="A233" t="s">
        <v>1790</v>
      </c>
      <c r="B233" t="b">
        <f>IF(A233="WDS", COUNTIF($D:$D, D233) &gt; 1, "")</f>
        <v>0</v>
      </c>
      <c r="C233" s="1">
        <v>101406724</v>
      </c>
      <c r="D233" t="s">
        <v>1253</v>
      </c>
      <c r="E233" t="s">
        <v>21</v>
      </c>
      <c r="F233" t="s">
        <v>1254</v>
      </c>
      <c r="G233" t="s">
        <v>623</v>
      </c>
      <c r="H233" t="s">
        <v>1255</v>
      </c>
      <c r="I233" t="s">
        <v>1256</v>
      </c>
      <c r="J233" t="s">
        <v>2356</v>
      </c>
      <c r="K233" t="s">
        <v>2356</v>
      </c>
      <c r="L233" t="s">
        <v>1257</v>
      </c>
      <c r="M233" t="s">
        <v>1257</v>
      </c>
      <c r="N233" t="b">
        <v>1</v>
      </c>
      <c r="O233" t="b">
        <v>1</v>
      </c>
      <c r="P233" t="b">
        <v>0</v>
      </c>
    </row>
    <row r="234" spans="1:16" x14ac:dyDescent="0.45">
      <c r="A234" t="s">
        <v>1790</v>
      </c>
      <c r="B234" t="b">
        <f>IF(A234="WDS", COUNTIF($D:$D, D234) &gt; 1, "")</f>
        <v>0</v>
      </c>
      <c r="C234" s="1">
        <v>101404794</v>
      </c>
      <c r="D234" t="s">
        <v>1258</v>
      </c>
      <c r="E234" t="s">
        <v>21</v>
      </c>
      <c r="F234" t="s">
        <v>1259</v>
      </c>
      <c r="G234" t="s">
        <v>289</v>
      </c>
      <c r="H234" t="s">
        <v>1260</v>
      </c>
      <c r="I234" t="s">
        <v>1261</v>
      </c>
      <c r="J234" t="s">
        <v>2357</v>
      </c>
      <c r="K234" t="s">
        <v>2358</v>
      </c>
      <c r="L234" t="s">
        <v>1262</v>
      </c>
      <c r="M234" t="s">
        <v>1263</v>
      </c>
      <c r="N234" t="b">
        <v>1</v>
      </c>
      <c r="O234" t="b">
        <v>1</v>
      </c>
      <c r="P234" t="b">
        <v>0</v>
      </c>
    </row>
    <row r="235" spans="1:16" x14ac:dyDescent="0.45">
      <c r="A235" t="s">
        <v>1790</v>
      </c>
      <c r="B235" t="b">
        <f>IF(A235="WDS", COUNTIF($D:$D, D235) &gt; 1, "")</f>
        <v>0</v>
      </c>
      <c r="C235" s="1">
        <v>101404262</v>
      </c>
      <c r="D235" t="s">
        <v>1264</v>
      </c>
      <c r="E235" t="s">
        <v>21</v>
      </c>
      <c r="F235" t="s">
        <v>1265</v>
      </c>
      <c r="G235" t="s">
        <v>311</v>
      </c>
      <c r="H235" t="s">
        <v>1266</v>
      </c>
      <c r="I235" t="s">
        <v>1267</v>
      </c>
      <c r="J235" t="s">
        <v>2359</v>
      </c>
      <c r="K235" t="s">
        <v>2359</v>
      </c>
      <c r="L235" t="s">
        <v>1268</v>
      </c>
      <c r="M235" t="s">
        <v>1268</v>
      </c>
      <c r="N235" t="b">
        <v>1</v>
      </c>
      <c r="O235" t="b">
        <v>1</v>
      </c>
      <c r="P235" t="b">
        <v>0</v>
      </c>
    </row>
    <row r="236" spans="1:16" x14ac:dyDescent="0.45">
      <c r="A236" t="s">
        <v>1790</v>
      </c>
      <c r="B236" t="b">
        <f>IF(A236="WDS", COUNTIF($D:$D, D236) &gt; 1, "")</f>
        <v>0</v>
      </c>
      <c r="C236" s="1">
        <v>101404258</v>
      </c>
      <c r="D236" t="s">
        <v>1269</v>
      </c>
      <c r="E236" t="s">
        <v>21</v>
      </c>
      <c r="F236" t="s">
        <v>1270</v>
      </c>
      <c r="G236" t="s">
        <v>623</v>
      </c>
      <c r="H236" t="s">
        <v>1271</v>
      </c>
      <c r="I236" t="s">
        <v>1272</v>
      </c>
      <c r="J236" t="s">
        <v>2359</v>
      </c>
      <c r="K236" t="s">
        <v>2359</v>
      </c>
      <c r="L236" t="s">
        <v>1268</v>
      </c>
      <c r="M236" t="s">
        <v>1268</v>
      </c>
      <c r="N236" t="b">
        <v>1</v>
      </c>
      <c r="O236" t="b">
        <v>1</v>
      </c>
      <c r="P236" t="b">
        <v>0</v>
      </c>
    </row>
    <row r="237" spans="1:16" x14ac:dyDescent="0.45">
      <c r="A237" t="s">
        <v>1790</v>
      </c>
      <c r="B237" t="b">
        <f>IF(A237="WDS", COUNTIF($D:$D, D237) &gt; 1, "")</f>
        <v>0</v>
      </c>
      <c r="C237" s="1">
        <v>101403755</v>
      </c>
      <c r="D237" t="s">
        <v>1273</v>
      </c>
      <c r="E237" t="s">
        <v>21</v>
      </c>
      <c r="F237" t="s">
        <v>1274</v>
      </c>
      <c r="G237" t="s">
        <v>1275</v>
      </c>
      <c r="H237" t="s">
        <v>1276</v>
      </c>
      <c r="I237" t="s">
        <v>1277</v>
      </c>
      <c r="J237" t="s">
        <v>2360</v>
      </c>
      <c r="K237" t="s">
        <v>2360</v>
      </c>
      <c r="L237" t="s">
        <v>1278</v>
      </c>
      <c r="M237" t="s">
        <v>1278</v>
      </c>
      <c r="N237" t="b">
        <v>1</v>
      </c>
      <c r="O237" t="b">
        <v>1</v>
      </c>
      <c r="P237" t="b">
        <v>0</v>
      </c>
    </row>
    <row r="238" spans="1:16" x14ac:dyDescent="0.45">
      <c r="A238" t="s">
        <v>1790</v>
      </c>
      <c r="B238" t="b">
        <f>IF(A238="WDS", COUNTIF($D:$D, D238) &gt; 1, "")</f>
        <v>1</v>
      </c>
      <c r="C238" s="1">
        <v>101398771</v>
      </c>
      <c r="D238" t="s">
        <v>1279</v>
      </c>
      <c r="E238" t="s">
        <v>21</v>
      </c>
      <c r="F238" t="s">
        <v>1280</v>
      </c>
      <c r="G238" t="s">
        <v>1281</v>
      </c>
      <c r="H238" t="s">
        <v>1282</v>
      </c>
      <c r="I238" t="s">
        <v>1283</v>
      </c>
      <c r="J238" t="s">
        <v>2361</v>
      </c>
      <c r="K238" t="s">
        <v>2361</v>
      </c>
      <c r="L238" t="s">
        <v>1284</v>
      </c>
      <c r="M238" t="s">
        <v>1284</v>
      </c>
      <c r="N238" t="b">
        <v>1</v>
      </c>
      <c r="O238" t="b">
        <v>1</v>
      </c>
      <c r="P238" t="b">
        <v>0</v>
      </c>
    </row>
    <row r="239" spans="1:16" x14ac:dyDescent="0.45">
      <c r="A239" t="s">
        <v>1790</v>
      </c>
      <c r="B239" t="b">
        <f>IF(A239="WDS", COUNTIF($D:$D, D239) &gt; 1, "")</f>
        <v>0</v>
      </c>
      <c r="C239" s="1">
        <v>101398396</v>
      </c>
      <c r="D239" t="s">
        <v>1285</v>
      </c>
      <c r="E239" t="s">
        <v>21</v>
      </c>
      <c r="F239" t="s">
        <v>1286</v>
      </c>
      <c r="G239" t="s">
        <v>42</v>
      </c>
      <c r="H239" t="s">
        <v>1287</v>
      </c>
      <c r="I239" t="s">
        <v>1288</v>
      </c>
      <c r="J239" t="s">
        <v>2362</v>
      </c>
      <c r="K239" t="s">
        <v>2363</v>
      </c>
      <c r="L239" t="s">
        <v>1289</v>
      </c>
      <c r="M239" t="s">
        <v>1290</v>
      </c>
      <c r="N239" t="b">
        <v>1</v>
      </c>
      <c r="O239" t="b">
        <v>1</v>
      </c>
      <c r="P239" t="b">
        <v>0</v>
      </c>
    </row>
    <row r="240" spans="1:16" x14ac:dyDescent="0.45">
      <c r="A240" t="s">
        <v>1790</v>
      </c>
      <c r="B240" t="b">
        <f>IF(A240="WDS", COUNTIF($D:$D, D240) &gt; 1, "")</f>
        <v>0</v>
      </c>
      <c r="C240" s="1">
        <v>101380676</v>
      </c>
      <c r="D240" t="s">
        <v>1291</v>
      </c>
      <c r="E240" t="s">
        <v>21</v>
      </c>
      <c r="F240" t="s">
        <v>1292</v>
      </c>
      <c r="G240" t="s">
        <v>490</v>
      </c>
      <c r="H240" t="s">
        <v>1293</v>
      </c>
      <c r="I240" t="s">
        <v>1294</v>
      </c>
      <c r="J240" t="s">
        <v>2364</v>
      </c>
      <c r="K240" t="s">
        <v>2364</v>
      </c>
      <c r="L240" t="s">
        <v>1295</v>
      </c>
      <c r="M240" t="s">
        <v>1295</v>
      </c>
      <c r="N240" t="b">
        <v>1</v>
      </c>
      <c r="O240" t="b">
        <v>1</v>
      </c>
      <c r="P240" t="b">
        <v>0</v>
      </c>
    </row>
    <row r="241" spans="1:16" x14ac:dyDescent="0.45">
      <c r="A241" t="s">
        <v>1790</v>
      </c>
      <c r="B241" t="b">
        <f>IF(A241="WDS", COUNTIF($D:$D, D241) &gt; 1, "")</f>
        <v>0</v>
      </c>
      <c r="C241" s="1">
        <v>101380416</v>
      </c>
      <c r="D241" t="s">
        <v>1296</v>
      </c>
      <c r="E241" t="s">
        <v>21</v>
      </c>
      <c r="F241" t="s">
        <v>1297</v>
      </c>
      <c r="G241" t="s">
        <v>228</v>
      </c>
      <c r="H241" t="s">
        <v>1298</v>
      </c>
      <c r="I241" t="s">
        <v>1299</v>
      </c>
      <c r="J241" t="s">
        <v>2236</v>
      </c>
      <c r="K241" t="s">
        <v>2365</v>
      </c>
      <c r="L241" t="s">
        <v>683</v>
      </c>
      <c r="M241" t="s">
        <v>1300</v>
      </c>
      <c r="N241" t="b">
        <v>1</v>
      </c>
      <c r="O241" t="b">
        <v>1</v>
      </c>
      <c r="P241" t="b">
        <v>0</v>
      </c>
    </row>
    <row r="242" spans="1:16" x14ac:dyDescent="0.45">
      <c r="A242" t="s">
        <v>1790</v>
      </c>
      <c r="B242" t="b">
        <f>IF(A242="WDS", COUNTIF($D:$D, D242) &gt; 1, "")</f>
        <v>0</v>
      </c>
      <c r="C242" s="1">
        <v>101371053</v>
      </c>
      <c r="D242" t="s">
        <v>1301</v>
      </c>
      <c r="E242" t="s">
        <v>21</v>
      </c>
      <c r="F242" t="s">
        <v>1302</v>
      </c>
      <c r="G242" t="s">
        <v>1303</v>
      </c>
      <c r="H242" t="s">
        <v>1304</v>
      </c>
      <c r="I242" t="s">
        <v>1305</v>
      </c>
      <c r="J242" t="s">
        <v>2366</v>
      </c>
      <c r="K242" t="s">
        <v>2366</v>
      </c>
      <c r="L242" t="s">
        <v>1306</v>
      </c>
      <c r="M242" t="s">
        <v>1306</v>
      </c>
      <c r="N242" t="b">
        <v>1</v>
      </c>
      <c r="O242" t="b">
        <v>1</v>
      </c>
      <c r="P242" t="b">
        <v>0</v>
      </c>
    </row>
    <row r="243" spans="1:16" x14ac:dyDescent="0.45">
      <c r="A243" t="s">
        <v>1790</v>
      </c>
      <c r="B243" t="b">
        <f>IF(A243="WDS", COUNTIF($D:$D, D243) &gt; 1, "")</f>
        <v>0</v>
      </c>
      <c r="C243" s="1">
        <v>101363042</v>
      </c>
      <c r="D243" t="s">
        <v>1307</v>
      </c>
      <c r="E243" t="s">
        <v>21</v>
      </c>
      <c r="F243" t="s">
        <v>1308</v>
      </c>
      <c r="G243" t="s">
        <v>1309</v>
      </c>
      <c r="H243" t="s">
        <v>1310</v>
      </c>
      <c r="I243" t="s">
        <v>1311</v>
      </c>
      <c r="J243" t="s">
        <v>2367</v>
      </c>
      <c r="K243" t="s">
        <v>2367</v>
      </c>
      <c r="L243" t="s">
        <v>1312</v>
      </c>
      <c r="M243" t="s">
        <v>1312</v>
      </c>
      <c r="N243" t="b">
        <v>1</v>
      </c>
      <c r="O243" t="b">
        <v>1</v>
      </c>
      <c r="P243" t="b">
        <v>0</v>
      </c>
    </row>
    <row r="244" spans="1:16" x14ac:dyDescent="0.45">
      <c r="A244" t="s">
        <v>1790</v>
      </c>
      <c r="B244" t="b">
        <f>IF(A244="WDS", COUNTIF($D:$D, D244) &gt; 1, "")</f>
        <v>1</v>
      </c>
      <c r="C244" s="1">
        <v>101362827</v>
      </c>
      <c r="D244" t="s">
        <v>1313</v>
      </c>
      <c r="E244" t="s">
        <v>21</v>
      </c>
      <c r="F244" t="s">
        <v>1314</v>
      </c>
      <c r="G244" t="s">
        <v>1315</v>
      </c>
      <c r="H244" t="s">
        <v>1316</v>
      </c>
      <c r="I244" t="s">
        <v>1317</v>
      </c>
      <c r="J244" t="s">
        <v>2368</v>
      </c>
      <c r="K244" t="s">
        <v>2368</v>
      </c>
      <c r="L244" t="s">
        <v>1318</v>
      </c>
      <c r="M244" t="s">
        <v>1318</v>
      </c>
      <c r="N244" t="b">
        <v>1</v>
      </c>
      <c r="O244" t="b">
        <v>1</v>
      </c>
      <c r="P244" t="b">
        <v>0</v>
      </c>
    </row>
    <row r="245" spans="1:16" x14ac:dyDescent="0.45">
      <c r="A245" t="s">
        <v>1790</v>
      </c>
      <c r="B245" t="b">
        <f>IF(A245="WDS", COUNTIF($D:$D, D245) &gt; 1, "")</f>
        <v>0</v>
      </c>
      <c r="C245" s="1">
        <v>101354270</v>
      </c>
      <c r="D245" t="s">
        <v>1319</v>
      </c>
      <c r="E245" t="s">
        <v>21</v>
      </c>
      <c r="F245" t="s">
        <v>1320</v>
      </c>
      <c r="G245" t="s">
        <v>311</v>
      </c>
      <c r="H245" t="s">
        <v>1321</v>
      </c>
      <c r="I245" t="s">
        <v>1322</v>
      </c>
      <c r="J245" t="s">
        <v>2369</v>
      </c>
      <c r="K245" t="s">
        <v>2369</v>
      </c>
      <c r="L245" t="s">
        <v>1323</v>
      </c>
      <c r="M245" t="s">
        <v>1323</v>
      </c>
      <c r="N245" t="b">
        <v>1</v>
      </c>
      <c r="O245" t="b">
        <v>1</v>
      </c>
      <c r="P245" t="b">
        <v>0</v>
      </c>
    </row>
    <row r="246" spans="1:16" x14ac:dyDescent="0.45">
      <c r="A246" t="s">
        <v>1790</v>
      </c>
      <c r="B246" t="b">
        <f>IF(A246="WDS", COUNTIF($D:$D, D246) &gt; 1, "")</f>
        <v>0</v>
      </c>
      <c r="C246" s="1">
        <v>101348842</v>
      </c>
      <c r="D246" t="s">
        <v>1324</v>
      </c>
      <c r="E246" t="s">
        <v>21</v>
      </c>
      <c r="F246" t="s">
        <v>1325</v>
      </c>
      <c r="G246" t="s">
        <v>339</v>
      </c>
      <c r="H246" t="s">
        <v>1326</v>
      </c>
      <c r="I246" t="s">
        <v>1327</v>
      </c>
      <c r="J246" t="s">
        <v>2370</v>
      </c>
      <c r="K246" t="s">
        <v>2371</v>
      </c>
      <c r="L246" t="s">
        <v>1328</v>
      </c>
      <c r="M246" t="s">
        <v>1329</v>
      </c>
      <c r="N246" t="b">
        <v>1</v>
      </c>
      <c r="O246" t="b">
        <v>1</v>
      </c>
      <c r="P246" t="b">
        <v>0</v>
      </c>
    </row>
    <row r="247" spans="1:16" x14ac:dyDescent="0.45">
      <c r="A247" t="s">
        <v>1790</v>
      </c>
      <c r="B247" t="b">
        <f>IF(A247="WDS", COUNTIF($D:$D, D247) &gt; 1, "")</f>
        <v>0</v>
      </c>
      <c r="C247" s="1">
        <v>101332123</v>
      </c>
      <c r="D247" t="s">
        <v>1330</v>
      </c>
      <c r="E247" t="s">
        <v>21</v>
      </c>
      <c r="F247" t="s">
        <v>1331</v>
      </c>
      <c r="G247" t="s">
        <v>234</v>
      </c>
      <c r="H247" t="s">
        <v>1332</v>
      </c>
      <c r="I247" t="s">
        <v>1333</v>
      </c>
      <c r="J247" t="s">
        <v>2372</v>
      </c>
      <c r="K247" t="s">
        <v>2373</v>
      </c>
      <c r="L247" t="s">
        <v>1334</v>
      </c>
      <c r="M247" t="s">
        <v>1335</v>
      </c>
      <c r="N247" t="b">
        <v>1</v>
      </c>
      <c r="O247" t="b">
        <v>1</v>
      </c>
      <c r="P247" t="b">
        <v>0</v>
      </c>
    </row>
    <row r="248" spans="1:16" x14ac:dyDescent="0.45">
      <c r="A248" t="s">
        <v>1790</v>
      </c>
      <c r="B248" t="b">
        <f>IF(A248="WDS", COUNTIF($D:$D, D248) &gt; 1, "")</f>
        <v>0</v>
      </c>
      <c r="C248" s="1">
        <v>101317246</v>
      </c>
      <c r="D248" t="s">
        <v>1336</v>
      </c>
      <c r="E248" t="s">
        <v>21</v>
      </c>
      <c r="F248" t="s">
        <v>1337</v>
      </c>
      <c r="G248" t="s">
        <v>1338</v>
      </c>
      <c r="H248" t="s">
        <v>1339</v>
      </c>
      <c r="I248" t="s">
        <v>1340</v>
      </c>
      <c r="J248" t="s">
        <v>2374</v>
      </c>
      <c r="K248" t="s">
        <v>2374</v>
      </c>
      <c r="L248" t="s">
        <v>1341</v>
      </c>
      <c r="M248" t="s">
        <v>1341</v>
      </c>
      <c r="N248" t="b">
        <v>1</v>
      </c>
      <c r="O248" t="b">
        <v>1</v>
      </c>
      <c r="P248" t="b">
        <v>0</v>
      </c>
    </row>
    <row r="249" spans="1:16" x14ac:dyDescent="0.45">
      <c r="A249" t="s">
        <v>1790</v>
      </c>
      <c r="B249" t="b">
        <f>IF(A249="WDS", COUNTIF($D:$D, D249) &gt; 1, "")</f>
        <v>0</v>
      </c>
      <c r="C249" s="1">
        <v>101317240</v>
      </c>
      <c r="D249" t="s">
        <v>1342</v>
      </c>
      <c r="E249" t="s">
        <v>21</v>
      </c>
      <c r="F249" t="s">
        <v>1173</v>
      </c>
      <c r="G249" t="s">
        <v>1174</v>
      </c>
      <c r="H249" t="s">
        <v>1343</v>
      </c>
      <c r="I249" t="s">
        <v>1344</v>
      </c>
      <c r="J249" t="s">
        <v>2374</v>
      </c>
      <c r="K249" t="s">
        <v>2374</v>
      </c>
      <c r="L249" t="s">
        <v>1341</v>
      </c>
      <c r="M249" t="s">
        <v>1341</v>
      </c>
      <c r="N249" t="b">
        <v>1</v>
      </c>
      <c r="O249" t="b">
        <v>1</v>
      </c>
      <c r="P249" t="b">
        <v>0</v>
      </c>
    </row>
    <row r="250" spans="1:16" x14ac:dyDescent="0.45">
      <c r="A250" t="s">
        <v>1790</v>
      </c>
      <c r="B250" t="b">
        <f>IF(A250="WDS", COUNTIF($D:$D, D250) &gt; 1, "")</f>
        <v>0</v>
      </c>
      <c r="C250" s="1">
        <v>101316958</v>
      </c>
      <c r="D250" t="s">
        <v>1345</v>
      </c>
      <c r="E250" t="s">
        <v>21</v>
      </c>
      <c r="F250" t="s">
        <v>1346</v>
      </c>
      <c r="G250" t="s">
        <v>146</v>
      </c>
      <c r="H250" t="s">
        <v>1347</v>
      </c>
      <c r="I250" t="s">
        <v>1348</v>
      </c>
      <c r="J250" t="s">
        <v>2375</v>
      </c>
      <c r="K250" t="s">
        <v>2375</v>
      </c>
      <c r="L250" t="s">
        <v>1349</v>
      </c>
      <c r="M250" t="s">
        <v>1349</v>
      </c>
      <c r="N250" t="b">
        <v>1</v>
      </c>
      <c r="O250" t="b">
        <v>1</v>
      </c>
      <c r="P250" t="b">
        <v>0</v>
      </c>
    </row>
    <row r="251" spans="1:16" x14ac:dyDescent="0.45">
      <c r="A251" t="s">
        <v>1790</v>
      </c>
      <c r="B251" t="b">
        <f>IF(A251="WDS", COUNTIF($D:$D, D251) &gt; 1, "")</f>
        <v>0</v>
      </c>
      <c r="C251" s="1">
        <v>101311648</v>
      </c>
      <c r="D251" t="s">
        <v>1350</v>
      </c>
      <c r="E251" t="s">
        <v>21</v>
      </c>
      <c r="F251" t="s">
        <v>1297</v>
      </c>
      <c r="G251" t="s">
        <v>228</v>
      </c>
      <c r="H251" t="s">
        <v>1351</v>
      </c>
      <c r="I251" t="s">
        <v>1352</v>
      </c>
      <c r="J251" t="s">
        <v>2376</v>
      </c>
      <c r="K251" t="s">
        <v>2376</v>
      </c>
      <c r="L251" t="s">
        <v>1353</v>
      </c>
      <c r="M251" t="s">
        <v>1353</v>
      </c>
      <c r="N251" t="b">
        <v>1</v>
      </c>
      <c r="O251" t="b">
        <v>1</v>
      </c>
      <c r="P251" t="b">
        <v>0</v>
      </c>
    </row>
    <row r="252" spans="1:16" x14ac:dyDescent="0.45">
      <c r="A252" t="s">
        <v>1790</v>
      </c>
      <c r="B252" t="b">
        <f>IF(A252="WDS", COUNTIF($D:$D, D252) &gt; 1, "")</f>
        <v>0</v>
      </c>
      <c r="C252" s="1">
        <v>101304588</v>
      </c>
      <c r="D252" t="s">
        <v>1354</v>
      </c>
      <c r="E252" t="s">
        <v>21</v>
      </c>
      <c r="F252" t="s">
        <v>1355</v>
      </c>
      <c r="G252" t="s">
        <v>140</v>
      </c>
      <c r="H252" t="s">
        <v>1356</v>
      </c>
      <c r="I252" t="s">
        <v>1357</v>
      </c>
      <c r="J252" t="s">
        <v>2377</v>
      </c>
      <c r="K252" t="s">
        <v>2377</v>
      </c>
      <c r="L252" t="s">
        <v>1358</v>
      </c>
      <c r="M252" t="s">
        <v>1358</v>
      </c>
      <c r="N252" t="b">
        <v>1</v>
      </c>
      <c r="O252" t="b">
        <v>1</v>
      </c>
      <c r="P252" t="b">
        <v>0</v>
      </c>
    </row>
    <row r="253" spans="1:16" x14ac:dyDescent="0.45">
      <c r="A253" t="s">
        <v>1790</v>
      </c>
      <c r="B253" t="b">
        <f>IF(A253="WDS", COUNTIF($D:$D, D253) &gt; 1, "")</f>
        <v>0</v>
      </c>
      <c r="C253" s="1">
        <v>101304344</v>
      </c>
      <c r="D253" t="s">
        <v>1359</v>
      </c>
      <c r="E253" t="s">
        <v>21</v>
      </c>
      <c r="F253" t="s">
        <v>1360</v>
      </c>
      <c r="G253" t="s">
        <v>207</v>
      </c>
      <c r="H253" t="s">
        <v>1361</v>
      </c>
      <c r="I253" t="s">
        <v>1362</v>
      </c>
      <c r="J253" t="s">
        <v>2378</v>
      </c>
      <c r="K253" t="s">
        <v>2378</v>
      </c>
      <c r="L253" t="s">
        <v>1363</v>
      </c>
      <c r="M253" t="s">
        <v>1363</v>
      </c>
      <c r="N253" t="b">
        <v>1</v>
      </c>
      <c r="O253" t="b">
        <v>1</v>
      </c>
      <c r="P253" t="b">
        <v>0</v>
      </c>
    </row>
    <row r="254" spans="1:16" x14ac:dyDescent="0.45">
      <c r="A254" t="s">
        <v>1790</v>
      </c>
      <c r="B254" t="b">
        <f>IF(A254="WDS", COUNTIF($D:$D, D254) &gt; 1, "")</f>
        <v>1</v>
      </c>
      <c r="C254" s="1">
        <v>101303047</v>
      </c>
      <c r="D254" t="s">
        <v>1364</v>
      </c>
      <c r="E254" t="s">
        <v>21</v>
      </c>
      <c r="F254" t="s">
        <v>1365</v>
      </c>
      <c r="G254" t="s">
        <v>60</v>
      </c>
      <c r="H254" t="s">
        <v>1366</v>
      </c>
      <c r="I254" t="s">
        <v>1367</v>
      </c>
      <c r="J254" t="s">
        <v>2379</v>
      </c>
      <c r="K254" t="s">
        <v>2379</v>
      </c>
      <c r="L254" t="s">
        <v>1368</v>
      </c>
      <c r="M254" t="s">
        <v>1368</v>
      </c>
      <c r="N254" t="b">
        <v>1</v>
      </c>
      <c r="O254" t="b">
        <v>1</v>
      </c>
      <c r="P254" t="b">
        <v>0</v>
      </c>
    </row>
    <row r="255" spans="1:16" x14ac:dyDescent="0.45">
      <c r="A255" t="s">
        <v>1790</v>
      </c>
      <c r="B255" t="b">
        <f>IF(A255="WDS", COUNTIF($D:$D, D255) &gt; 1, "")</f>
        <v>0</v>
      </c>
      <c r="C255" s="1">
        <v>101302831</v>
      </c>
      <c r="D255" t="s">
        <v>1369</v>
      </c>
      <c r="E255" t="s">
        <v>21</v>
      </c>
      <c r="F255" t="s">
        <v>1370</v>
      </c>
      <c r="G255" t="s">
        <v>557</v>
      </c>
      <c r="H255" t="s">
        <v>1371</v>
      </c>
      <c r="I255" t="s">
        <v>1372</v>
      </c>
      <c r="J255" t="s">
        <v>2380</v>
      </c>
      <c r="K255" t="s">
        <v>2380</v>
      </c>
      <c r="L255" t="s">
        <v>1373</v>
      </c>
      <c r="M255" t="s">
        <v>1373</v>
      </c>
      <c r="N255" t="b">
        <v>1</v>
      </c>
      <c r="O255" t="b">
        <v>1</v>
      </c>
      <c r="P255" t="b">
        <v>0</v>
      </c>
    </row>
    <row r="256" spans="1:16" x14ac:dyDescent="0.45">
      <c r="A256" t="s">
        <v>1790</v>
      </c>
      <c r="B256" t="b">
        <f>IF(A256="WDS", COUNTIF($D:$D, D256) &gt; 1, "")</f>
        <v>1</v>
      </c>
      <c r="C256" s="1">
        <v>101289507</v>
      </c>
      <c r="D256" t="s">
        <v>1374</v>
      </c>
      <c r="E256" t="s">
        <v>21</v>
      </c>
      <c r="F256" t="s">
        <v>1375</v>
      </c>
      <c r="G256" t="s">
        <v>932</v>
      </c>
      <c r="H256" t="s">
        <v>1376</v>
      </c>
      <c r="I256" t="s">
        <v>1377</v>
      </c>
      <c r="J256" t="s">
        <v>2381</v>
      </c>
      <c r="K256" t="s">
        <v>2381</v>
      </c>
      <c r="L256" t="s">
        <v>1378</v>
      </c>
      <c r="M256" t="s">
        <v>1378</v>
      </c>
      <c r="N256" t="b">
        <v>1</v>
      </c>
      <c r="O256" t="b">
        <v>1</v>
      </c>
      <c r="P256" t="b">
        <v>0</v>
      </c>
    </row>
    <row r="257" spans="1:16" x14ac:dyDescent="0.45">
      <c r="A257" t="s">
        <v>1790</v>
      </c>
      <c r="B257" t="b">
        <f>IF(A257="WDS", COUNTIF($D:$D, D257) &gt; 1, "")</f>
        <v>0</v>
      </c>
      <c r="C257" s="1">
        <v>101287439</v>
      </c>
      <c r="D257" t="s">
        <v>1379</v>
      </c>
      <c r="E257" t="s">
        <v>21</v>
      </c>
      <c r="F257" t="s">
        <v>1380</v>
      </c>
      <c r="G257" t="s">
        <v>1381</v>
      </c>
      <c r="H257" t="s">
        <v>1382</v>
      </c>
      <c r="I257" t="s">
        <v>1383</v>
      </c>
      <c r="J257" t="s">
        <v>2382</v>
      </c>
      <c r="K257" t="s">
        <v>2383</v>
      </c>
      <c r="L257" t="s">
        <v>1384</v>
      </c>
      <c r="M257" t="s">
        <v>1385</v>
      </c>
      <c r="N257" t="b">
        <v>1</v>
      </c>
      <c r="O257" t="b">
        <v>1</v>
      </c>
      <c r="P257" t="b">
        <v>0</v>
      </c>
    </row>
    <row r="258" spans="1:16" x14ac:dyDescent="0.45">
      <c r="A258" t="s">
        <v>1790</v>
      </c>
      <c r="B258" t="b">
        <f>IF(A258="WDS", COUNTIF($D:$D, D258) &gt; 1, "")</f>
        <v>0</v>
      </c>
      <c r="C258" s="1">
        <v>101278464</v>
      </c>
      <c r="D258" t="s">
        <v>1386</v>
      </c>
      <c r="E258" t="s">
        <v>21</v>
      </c>
      <c r="F258" t="s">
        <v>1387</v>
      </c>
      <c r="G258" t="s">
        <v>1388</v>
      </c>
      <c r="H258" t="s">
        <v>1389</v>
      </c>
      <c r="I258" t="s">
        <v>1390</v>
      </c>
      <c r="J258" t="s">
        <v>2384</v>
      </c>
      <c r="K258" t="s">
        <v>2384</v>
      </c>
      <c r="L258" t="s">
        <v>1391</v>
      </c>
      <c r="M258" t="s">
        <v>1391</v>
      </c>
      <c r="N258" t="b">
        <v>1</v>
      </c>
      <c r="O258" t="b">
        <v>1</v>
      </c>
      <c r="P258" t="b">
        <v>0</v>
      </c>
    </row>
    <row r="259" spans="1:16" x14ac:dyDescent="0.45">
      <c r="A259" t="s">
        <v>1790</v>
      </c>
      <c r="B259" t="b">
        <f>IF(A259="WDS", COUNTIF($D:$D, D259) &gt; 1, "")</f>
        <v>0</v>
      </c>
      <c r="C259" s="1">
        <v>101273904</v>
      </c>
      <c r="D259" t="s">
        <v>1392</v>
      </c>
      <c r="E259" t="s">
        <v>21</v>
      </c>
      <c r="F259" t="s">
        <v>1393</v>
      </c>
      <c r="G259" t="s">
        <v>644</v>
      </c>
      <c r="H259" t="s">
        <v>1394</v>
      </c>
      <c r="I259" t="s">
        <v>1395</v>
      </c>
      <c r="J259" t="s">
        <v>2385</v>
      </c>
      <c r="K259" t="s">
        <v>2385</v>
      </c>
      <c r="L259" t="s">
        <v>1396</v>
      </c>
      <c r="M259" t="s">
        <v>1396</v>
      </c>
      <c r="N259" t="b">
        <v>1</v>
      </c>
      <c r="O259" t="b">
        <v>1</v>
      </c>
      <c r="P259" t="b">
        <v>0</v>
      </c>
    </row>
    <row r="260" spans="1:16" x14ac:dyDescent="0.45">
      <c r="A260" t="s">
        <v>1790</v>
      </c>
      <c r="B260" t="b">
        <f>IF(A260="WDS", COUNTIF($D:$D, D260) &gt; 1, "")</f>
        <v>1</v>
      </c>
      <c r="C260" s="1">
        <v>101273034</v>
      </c>
      <c r="D260" t="s">
        <v>1397</v>
      </c>
      <c r="E260" t="s">
        <v>21</v>
      </c>
      <c r="F260" t="s">
        <v>1398</v>
      </c>
      <c r="G260" t="s">
        <v>1399</v>
      </c>
      <c r="H260" t="s">
        <v>1400</v>
      </c>
      <c r="I260" t="s">
        <v>1401</v>
      </c>
      <c r="J260" t="s">
        <v>2386</v>
      </c>
      <c r="K260" t="s">
        <v>2386</v>
      </c>
      <c r="L260" t="s">
        <v>1402</v>
      </c>
      <c r="M260" t="s">
        <v>1402</v>
      </c>
      <c r="N260" t="b">
        <v>1</v>
      </c>
      <c r="O260" t="b">
        <v>1</v>
      </c>
      <c r="P260" t="b">
        <v>0</v>
      </c>
    </row>
    <row r="261" spans="1:16" x14ac:dyDescent="0.45">
      <c r="A261" t="s">
        <v>1790</v>
      </c>
      <c r="B261" t="b">
        <f>IF(A261="WDS", COUNTIF($D:$D, D261) &gt; 1, "")</f>
        <v>0</v>
      </c>
      <c r="C261" s="1">
        <v>101272851</v>
      </c>
      <c r="D261" t="s">
        <v>1403</v>
      </c>
      <c r="E261" t="s">
        <v>21</v>
      </c>
      <c r="F261" t="s">
        <v>1292</v>
      </c>
      <c r="G261" t="s">
        <v>490</v>
      </c>
      <c r="H261" t="s">
        <v>1404</v>
      </c>
      <c r="I261" t="s">
        <v>1405</v>
      </c>
      <c r="J261" t="s">
        <v>2387</v>
      </c>
      <c r="K261" t="s">
        <v>2387</v>
      </c>
      <c r="L261" t="s">
        <v>1406</v>
      </c>
      <c r="M261" t="s">
        <v>1406</v>
      </c>
      <c r="N261" t="b">
        <v>1</v>
      </c>
      <c r="O261" t="b">
        <v>1</v>
      </c>
      <c r="P261" t="b">
        <v>0</v>
      </c>
    </row>
    <row r="262" spans="1:16" x14ac:dyDescent="0.45">
      <c r="A262" t="s">
        <v>1790</v>
      </c>
      <c r="B262" t="b">
        <f>IF(A262="WDS", COUNTIF($D:$D, D262) &gt; 1, "")</f>
        <v>0</v>
      </c>
      <c r="C262" s="1">
        <v>101272677</v>
      </c>
      <c r="D262" t="s">
        <v>1407</v>
      </c>
      <c r="E262" t="s">
        <v>21</v>
      </c>
      <c r="F262" t="s">
        <v>1408</v>
      </c>
      <c r="G262" t="s">
        <v>1409</v>
      </c>
      <c r="H262" t="s">
        <v>1410</v>
      </c>
      <c r="I262" t="s">
        <v>1411</v>
      </c>
      <c r="J262" t="s">
        <v>2388</v>
      </c>
      <c r="K262" t="s">
        <v>2389</v>
      </c>
      <c r="L262" t="s">
        <v>1412</v>
      </c>
      <c r="M262" t="s">
        <v>1413</v>
      </c>
      <c r="N262" t="b">
        <v>1</v>
      </c>
      <c r="O262" t="b">
        <v>1</v>
      </c>
      <c r="P262" t="b">
        <v>0</v>
      </c>
    </row>
    <row r="263" spans="1:16" x14ac:dyDescent="0.45">
      <c r="A263" t="s">
        <v>1790</v>
      </c>
      <c r="B263" t="b">
        <f>IF(A263="WDS", COUNTIF($D:$D, D263) &gt; 1, "")</f>
        <v>0</v>
      </c>
      <c r="C263" s="1">
        <v>101272238</v>
      </c>
      <c r="D263" t="s">
        <v>1414</v>
      </c>
      <c r="E263" t="s">
        <v>21</v>
      </c>
      <c r="F263" t="s">
        <v>1415</v>
      </c>
      <c r="G263" t="s">
        <v>1416</v>
      </c>
      <c r="H263" t="s">
        <v>1417</v>
      </c>
      <c r="I263" t="s">
        <v>1418</v>
      </c>
      <c r="J263" t="s">
        <v>2390</v>
      </c>
      <c r="K263" t="s">
        <v>2390</v>
      </c>
      <c r="L263" t="s">
        <v>1419</v>
      </c>
      <c r="M263" t="s">
        <v>1419</v>
      </c>
      <c r="N263" t="b">
        <v>1</v>
      </c>
      <c r="O263" t="b">
        <v>1</v>
      </c>
      <c r="P263" t="b">
        <v>0</v>
      </c>
    </row>
    <row r="264" spans="1:16" x14ac:dyDescent="0.45">
      <c r="A264" t="s">
        <v>1790</v>
      </c>
      <c r="B264" t="b">
        <f>IF(A264="WDS", COUNTIF($D:$D, D264) &gt; 1, "")</f>
        <v>0</v>
      </c>
      <c r="C264" s="1">
        <v>101264725</v>
      </c>
      <c r="D264" t="s">
        <v>1420</v>
      </c>
      <c r="E264" t="s">
        <v>21</v>
      </c>
      <c r="F264" t="s">
        <v>1421</v>
      </c>
      <c r="G264" t="s">
        <v>97</v>
      </c>
      <c r="H264" t="s">
        <v>1422</v>
      </c>
      <c r="I264" t="s">
        <v>1423</v>
      </c>
      <c r="J264" t="s">
        <v>2391</v>
      </c>
      <c r="K264" t="s">
        <v>2392</v>
      </c>
      <c r="L264" t="s">
        <v>1424</v>
      </c>
      <c r="M264" t="s">
        <v>1425</v>
      </c>
      <c r="N264" t="b">
        <v>1</v>
      </c>
      <c r="O264" t="b">
        <v>1</v>
      </c>
      <c r="P264" t="b">
        <v>0</v>
      </c>
    </row>
    <row r="265" spans="1:16" x14ac:dyDescent="0.45">
      <c r="A265" t="s">
        <v>1790</v>
      </c>
      <c r="B265" t="b">
        <f>IF(A265="WDS", COUNTIF($D:$D, D265) &gt; 1, "")</f>
        <v>0</v>
      </c>
      <c r="C265" s="1">
        <v>101241930</v>
      </c>
      <c r="D265" t="s">
        <v>1426</v>
      </c>
      <c r="E265" t="s">
        <v>21</v>
      </c>
      <c r="F265" t="s">
        <v>1427</v>
      </c>
      <c r="G265" t="s">
        <v>894</v>
      </c>
      <c r="H265" t="s">
        <v>1428</v>
      </c>
      <c r="I265" t="s">
        <v>1429</v>
      </c>
      <c r="J265" t="s">
        <v>2112</v>
      </c>
      <c r="K265" t="s">
        <v>2112</v>
      </c>
      <c r="L265" t="s">
        <v>18</v>
      </c>
      <c r="M265" t="s">
        <v>18</v>
      </c>
      <c r="N265" t="b">
        <v>1</v>
      </c>
      <c r="O265" t="b">
        <v>1</v>
      </c>
      <c r="P265" t="b">
        <v>0</v>
      </c>
    </row>
    <row r="266" spans="1:16" x14ac:dyDescent="0.45">
      <c r="A266" t="s">
        <v>1790</v>
      </c>
      <c r="B266" t="b">
        <f>IF(A266="WDS", COUNTIF($D:$D, D266) &gt; 1, "")</f>
        <v>0</v>
      </c>
      <c r="C266" s="1">
        <v>101241329</v>
      </c>
      <c r="D266" t="s">
        <v>1430</v>
      </c>
      <c r="E266" t="s">
        <v>21</v>
      </c>
      <c r="F266" t="s">
        <v>1431</v>
      </c>
      <c r="G266" t="s">
        <v>311</v>
      </c>
      <c r="H266" t="s">
        <v>1432</v>
      </c>
      <c r="I266" t="s">
        <v>1433</v>
      </c>
      <c r="J266" t="s">
        <v>2393</v>
      </c>
      <c r="K266" t="s">
        <v>2393</v>
      </c>
      <c r="L266" t="s">
        <v>1434</v>
      </c>
      <c r="M266" t="s">
        <v>1434</v>
      </c>
      <c r="N266" t="b">
        <v>1</v>
      </c>
      <c r="O266" t="b">
        <v>1</v>
      </c>
      <c r="P266" t="b">
        <v>0</v>
      </c>
    </row>
    <row r="267" spans="1:16" x14ac:dyDescent="0.45">
      <c r="A267" t="s">
        <v>1790</v>
      </c>
      <c r="B267" t="b">
        <f>IF(A267="WDS", COUNTIF($D:$D, D267) &gt; 1, "")</f>
        <v>1</v>
      </c>
      <c r="C267" s="1">
        <v>101235190</v>
      </c>
      <c r="D267" t="s">
        <v>1435</v>
      </c>
      <c r="E267" t="s">
        <v>21</v>
      </c>
      <c r="F267" t="s">
        <v>1436</v>
      </c>
      <c r="G267" t="s">
        <v>129</v>
      </c>
      <c r="H267" t="s">
        <v>1437</v>
      </c>
      <c r="I267" t="s">
        <v>1438</v>
      </c>
      <c r="J267" t="s">
        <v>2394</v>
      </c>
      <c r="K267" t="s">
        <v>2394</v>
      </c>
      <c r="L267" t="s">
        <v>1439</v>
      </c>
      <c r="M267" t="s">
        <v>1439</v>
      </c>
      <c r="N267" t="b">
        <v>1</v>
      </c>
      <c r="O267" t="b">
        <v>1</v>
      </c>
      <c r="P267" t="b">
        <v>0</v>
      </c>
    </row>
    <row r="268" spans="1:16" x14ac:dyDescent="0.45">
      <c r="A268" t="s">
        <v>1790</v>
      </c>
      <c r="B268" t="b">
        <f>IF(A268="WDS", COUNTIF($D:$D, D268) &gt; 1, "")</f>
        <v>0</v>
      </c>
      <c r="C268" s="1">
        <v>101233059</v>
      </c>
      <c r="D268" t="s">
        <v>1440</v>
      </c>
      <c r="E268" t="s">
        <v>21</v>
      </c>
      <c r="F268" t="s">
        <v>1441</v>
      </c>
      <c r="G268" t="s">
        <v>72</v>
      </c>
      <c r="H268" t="s">
        <v>1442</v>
      </c>
      <c r="I268" t="s">
        <v>1443</v>
      </c>
      <c r="J268" t="s">
        <v>2395</v>
      </c>
      <c r="K268" t="s">
        <v>2396</v>
      </c>
      <c r="L268" t="s">
        <v>1444</v>
      </c>
      <c r="M268" t="s">
        <v>1445</v>
      </c>
      <c r="N268" t="b">
        <v>1</v>
      </c>
      <c r="O268" t="b">
        <v>1</v>
      </c>
      <c r="P268" t="b">
        <v>0</v>
      </c>
    </row>
    <row r="269" spans="1:16" x14ac:dyDescent="0.45">
      <c r="A269" t="s">
        <v>1790</v>
      </c>
      <c r="B269" t="b">
        <f>IF(A269="WDS", COUNTIF($D:$D, D269) &gt; 1, "")</f>
        <v>0</v>
      </c>
      <c r="C269" s="1">
        <v>101231017</v>
      </c>
      <c r="D269" t="s">
        <v>1446</v>
      </c>
      <c r="E269" t="s">
        <v>21</v>
      </c>
      <c r="F269" t="s">
        <v>1447</v>
      </c>
      <c r="G269" t="s">
        <v>557</v>
      </c>
      <c r="H269" t="s">
        <v>1448</v>
      </c>
      <c r="I269" t="s">
        <v>1449</v>
      </c>
      <c r="J269" t="s">
        <v>2397</v>
      </c>
      <c r="K269" t="s">
        <v>2397</v>
      </c>
      <c r="L269" t="s">
        <v>1450</v>
      </c>
      <c r="M269" t="s">
        <v>1450</v>
      </c>
      <c r="N269" t="b">
        <v>1</v>
      </c>
      <c r="O269" t="b">
        <v>1</v>
      </c>
      <c r="P269" t="b">
        <v>0</v>
      </c>
    </row>
    <row r="270" spans="1:16" x14ac:dyDescent="0.45">
      <c r="A270" t="s">
        <v>1790</v>
      </c>
      <c r="B270" t="b">
        <f>IF(A270="WDS", COUNTIF($D:$D, D270) &gt; 1, "")</f>
        <v>1</v>
      </c>
      <c r="C270" s="1">
        <v>101223939</v>
      </c>
      <c r="D270" t="s">
        <v>1451</v>
      </c>
      <c r="E270" t="s">
        <v>21</v>
      </c>
      <c r="F270" t="s">
        <v>1452</v>
      </c>
      <c r="G270" t="s">
        <v>311</v>
      </c>
      <c r="H270" t="s">
        <v>1453</v>
      </c>
      <c r="I270" t="s">
        <v>1454</v>
      </c>
      <c r="J270" t="s">
        <v>2398</v>
      </c>
      <c r="K270" t="s">
        <v>2398</v>
      </c>
      <c r="L270" t="s">
        <v>1455</v>
      </c>
      <c r="M270" t="s">
        <v>1455</v>
      </c>
      <c r="N270" t="b">
        <v>1</v>
      </c>
      <c r="O270" t="b">
        <v>1</v>
      </c>
      <c r="P270" t="b">
        <v>0</v>
      </c>
    </row>
    <row r="271" spans="1:16" x14ac:dyDescent="0.45">
      <c r="A271" t="s">
        <v>1790</v>
      </c>
      <c r="B271" t="b">
        <f>IF(A271="WDS", COUNTIF($D:$D, D271) &gt; 1, "")</f>
        <v>0</v>
      </c>
      <c r="C271" s="1">
        <v>101222368</v>
      </c>
      <c r="D271" t="s">
        <v>1456</v>
      </c>
      <c r="E271" t="s">
        <v>21</v>
      </c>
      <c r="F271" t="s">
        <v>1457</v>
      </c>
      <c r="G271" t="s">
        <v>775</v>
      </c>
      <c r="H271" t="s">
        <v>1458</v>
      </c>
      <c r="I271" t="s">
        <v>1459</v>
      </c>
      <c r="J271" t="s">
        <v>2399</v>
      </c>
      <c r="K271" t="s">
        <v>2400</v>
      </c>
      <c r="L271" t="s">
        <v>1460</v>
      </c>
      <c r="M271" t="s">
        <v>1461</v>
      </c>
      <c r="N271" t="b">
        <v>1</v>
      </c>
      <c r="O271" t="b">
        <v>1</v>
      </c>
      <c r="P271" t="b">
        <v>0</v>
      </c>
    </row>
    <row r="272" spans="1:16" x14ac:dyDescent="0.45">
      <c r="A272" t="s">
        <v>1790</v>
      </c>
      <c r="B272" t="b">
        <f>IF(A272="WDS", COUNTIF($D:$D, D272) &gt; 1, "")</f>
        <v>0</v>
      </c>
      <c r="C272" s="1">
        <v>101221102</v>
      </c>
      <c r="D272" t="s">
        <v>1462</v>
      </c>
      <c r="E272" t="s">
        <v>21</v>
      </c>
      <c r="F272" t="s">
        <v>1463</v>
      </c>
      <c r="G272" t="s">
        <v>1464</v>
      </c>
      <c r="H272" t="s">
        <v>1465</v>
      </c>
      <c r="I272" t="s">
        <v>1466</v>
      </c>
      <c r="J272" t="s">
        <v>2401</v>
      </c>
      <c r="K272" t="s">
        <v>2402</v>
      </c>
      <c r="L272" t="s">
        <v>1467</v>
      </c>
      <c r="M272" t="s">
        <v>1468</v>
      </c>
      <c r="N272" t="b">
        <v>1</v>
      </c>
      <c r="O272" t="b">
        <v>1</v>
      </c>
      <c r="P272" t="b">
        <v>0</v>
      </c>
    </row>
    <row r="273" spans="1:16" x14ac:dyDescent="0.45">
      <c r="A273" t="s">
        <v>1790</v>
      </c>
      <c r="B273" t="b">
        <f>IF(A273="WDS", COUNTIF($D:$D, D273) &gt; 1, "")</f>
        <v>1</v>
      </c>
      <c r="C273" s="1">
        <v>101220009</v>
      </c>
      <c r="D273" t="s">
        <v>1469</v>
      </c>
      <c r="E273" t="s">
        <v>21</v>
      </c>
      <c r="F273" t="s">
        <v>954</v>
      </c>
      <c r="G273" t="s">
        <v>396</v>
      </c>
      <c r="H273" t="s">
        <v>1470</v>
      </c>
      <c r="I273" t="s">
        <v>1471</v>
      </c>
      <c r="J273" t="s">
        <v>2403</v>
      </c>
      <c r="K273" t="s">
        <v>2404</v>
      </c>
      <c r="L273" t="s">
        <v>1472</v>
      </c>
      <c r="M273" t="s">
        <v>1473</v>
      </c>
      <c r="N273" t="b">
        <v>1</v>
      </c>
      <c r="O273" t="b">
        <v>1</v>
      </c>
      <c r="P273" t="b">
        <v>0</v>
      </c>
    </row>
    <row r="274" spans="1:16" x14ac:dyDescent="0.45">
      <c r="A274" t="s">
        <v>1790</v>
      </c>
      <c r="B274" t="b">
        <f>IF(A274="WDS", COUNTIF($D:$D, D274) &gt; 1, "")</f>
        <v>0</v>
      </c>
      <c r="C274" s="1">
        <v>101217246</v>
      </c>
      <c r="D274" t="s">
        <v>1474</v>
      </c>
      <c r="E274" t="s">
        <v>21</v>
      </c>
      <c r="F274" t="s">
        <v>1475</v>
      </c>
      <c r="G274" t="s">
        <v>1476</v>
      </c>
      <c r="H274" t="s">
        <v>1477</v>
      </c>
      <c r="I274" t="s">
        <v>1478</v>
      </c>
      <c r="J274" t="s">
        <v>2405</v>
      </c>
      <c r="K274" t="s">
        <v>2405</v>
      </c>
      <c r="L274" t="s">
        <v>1479</v>
      </c>
      <c r="M274" t="s">
        <v>1479</v>
      </c>
      <c r="N274" t="b">
        <v>1</v>
      </c>
      <c r="O274" t="b">
        <v>1</v>
      </c>
      <c r="P274" t="b">
        <v>0</v>
      </c>
    </row>
    <row r="275" spans="1:16" x14ac:dyDescent="0.45">
      <c r="A275" t="s">
        <v>1790</v>
      </c>
      <c r="B275" t="b">
        <f>IF(A275="WDS", COUNTIF($D:$D, D275) &gt; 1, "")</f>
        <v>0</v>
      </c>
      <c r="C275" s="1">
        <v>101213435</v>
      </c>
      <c r="D275" t="s">
        <v>1480</v>
      </c>
      <c r="E275" t="s">
        <v>21</v>
      </c>
      <c r="F275" t="s">
        <v>1481</v>
      </c>
      <c r="G275" t="s">
        <v>251</v>
      </c>
      <c r="H275" t="s">
        <v>1482</v>
      </c>
      <c r="I275" t="s">
        <v>1483</v>
      </c>
      <c r="J275" t="s">
        <v>2406</v>
      </c>
      <c r="K275" t="s">
        <v>2406</v>
      </c>
      <c r="L275" t="s">
        <v>1484</v>
      </c>
      <c r="M275" t="s">
        <v>1484</v>
      </c>
      <c r="N275" t="b">
        <v>1</v>
      </c>
      <c r="O275" t="b">
        <v>1</v>
      </c>
      <c r="P275" t="b">
        <v>0</v>
      </c>
    </row>
    <row r="276" spans="1:16" x14ac:dyDescent="0.45">
      <c r="A276" t="s">
        <v>1790</v>
      </c>
      <c r="B276" t="b">
        <f>IF(A276="WDS", COUNTIF($D:$D, D276) &gt; 1, "")</f>
        <v>0</v>
      </c>
      <c r="C276" s="1">
        <v>101209561</v>
      </c>
      <c r="D276" t="s">
        <v>1485</v>
      </c>
      <c r="E276" t="s">
        <v>21</v>
      </c>
      <c r="F276" t="s">
        <v>1486</v>
      </c>
      <c r="G276" t="s">
        <v>396</v>
      </c>
      <c r="H276" t="s">
        <v>1487</v>
      </c>
      <c r="I276" t="s">
        <v>1488</v>
      </c>
      <c r="J276" t="s">
        <v>2407</v>
      </c>
      <c r="K276" t="s">
        <v>2407</v>
      </c>
      <c r="L276" t="s">
        <v>1489</v>
      </c>
      <c r="M276" t="s">
        <v>1489</v>
      </c>
      <c r="N276" t="b">
        <v>1</v>
      </c>
      <c r="O276" t="b">
        <v>1</v>
      </c>
      <c r="P276" t="b">
        <v>0</v>
      </c>
    </row>
    <row r="277" spans="1:16" x14ac:dyDescent="0.45">
      <c r="A277" t="s">
        <v>1790</v>
      </c>
      <c r="B277" t="b">
        <f>IF(A277="WDS", COUNTIF($D:$D, D277) &gt; 1, "")</f>
        <v>0</v>
      </c>
      <c r="C277" s="1">
        <v>101202414</v>
      </c>
      <c r="D277" t="s">
        <v>1490</v>
      </c>
      <c r="E277" t="s">
        <v>21</v>
      </c>
      <c r="F277" t="s">
        <v>1491</v>
      </c>
      <c r="G277" t="s">
        <v>1303</v>
      </c>
      <c r="H277" t="s">
        <v>1492</v>
      </c>
      <c r="I277" t="s">
        <v>1493</v>
      </c>
      <c r="J277" t="s">
        <v>2408</v>
      </c>
      <c r="K277" t="s">
        <v>2408</v>
      </c>
      <c r="L277" t="s">
        <v>1494</v>
      </c>
      <c r="M277" t="s">
        <v>1494</v>
      </c>
      <c r="N277" t="b">
        <v>1</v>
      </c>
      <c r="O277" t="b">
        <v>1</v>
      </c>
      <c r="P277" t="b">
        <v>0</v>
      </c>
    </row>
    <row r="278" spans="1:16" x14ac:dyDescent="0.45">
      <c r="A278" t="s">
        <v>1790</v>
      </c>
      <c r="B278" t="b">
        <f>IF(A278="WDS", COUNTIF($D:$D, D278) &gt; 1, "")</f>
        <v>0</v>
      </c>
      <c r="C278" s="1">
        <v>101200077</v>
      </c>
      <c r="D278" t="s">
        <v>1495</v>
      </c>
      <c r="E278" t="s">
        <v>21</v>
      </c>
      <c r="F278" t="s">
        <v>1496</v>
      </c>
      <c r="G278" t="s">
        <v>524</v>
      </c>
      <c r="H278" t="s">
        <v>1497</v>
      </c>
      <c r="I278" t="s">
        <v>1498</v>
      </c>
      <c r="J278" t="s">
        <v>2409</v>
      </c>
      <c r="K278" t="s">
        <v>2409</v>
      </c>
      <c r="L278" t="s">
        <v>1499</v>
      </c>
      <c r="M278" t="s">
        <v>1499</v>
      </c>
      <c r="N278" t="b">
        <v>1</v>
      </c>
      <c r="O278" t="b">
        <v>1</v>
      </c>
      <c r="P278" t="b">
        <v>0</v>
      </c>
    </row>
    <row r="279" spans="1:16" x14ac:dyDescent="0.45">
      <c r="A279" t="s">
        <v>1790</v>
      </c>
      <c r="B279" t="b">
        <f>IF(A279="WDS", COUNTIF($D:$D, D279) &gt; 1, "")</f>
        <v>0</v>
      </c>
      <c r="C279" s="1">
        <v>101199221</v>
      </c>
      <c r="D279" t="s">
        <v>1500</v>
      </c>
      <c r="E279" t="s">
        <v>21</v>
      </c>
      <c r="F279" t="s">
        <v>1501</v>
      </c>
      <c r="G279" t="s">
        <v>345</v>
      </c>
      <c r="H279" t="s">
        <v>1502</v>
      </c>
      <c r="I279" t="s">
        <v>1503</v>
      </c>
      <c r="J279" t="s">
        <v>2410</v>
      </c>
      <c r="K279" t="s">
        <v>2410</v>
      </c>
      <c r="L279" t="s">
        <v>1504</v>
      </c>
      <c r="M279" t="s">
        <v>1504</v>
      </c>
      <c r="N279" t="b">
        <v>1</v>
      </c>
      <c r="O279" t="b">
        <v>1</v>
      </c>
      <c r="P279" t="b">
        <v>0</v>
      </c>
    </row>
    <row r="280" spans="1:16" x14ac:dyDescent="0.45">
      <c r="A280" t="s">
        <v>1790</v>
      </c>
      <c r="B280" t="b">
        <f>IF(A280="WDS", COUNTIF($D:$D, D280) &gt; 1, "")</f>
        <v>1</v>
      </c>
      <c r="C280" s="1">
        <v>101194349</v>
      </c>
      <c r="D280" t="s">
        <v>983</v>
      </c>
      <c r="E280" t="s">
        <v>21</v>
      </c>
      <c r="F280" t="s">
        <v>984</v>
      </c>
      <c r="G280" t="s">
        <v>152</v>
      </c>
      <c r="H280" t="s">
        <v>1505</v>
      </c>
      <c r="I280" t="s">
        <v>1506</v>
      </c>
      <c r="J280" t="s">
        <v>2247</v>
      </c>
      <c r="K280" t="s">
        <v>2411</v>
      </c>
      <c r="L280" t="s">
        <v>746</v>
      </c>
      <c r="M280" t="s">
        <v>1507</v>
      </c>
      <c r="N280" t="b">
        <v>1</v>
      </c>
      <c r="O280" t="b">
        <v>1</v>
      </c>
      <c r="P280" t="b">
        <v>0</v>
      </c>
    </row>
    <row r="281" spans="1:16" x14ac:dyDescent="0.45">
      <c r="A281" t="s">
        <v>1790</v>
      </c>
      <c r="B281" t="b">
        <f>IF(A281="WDS", COUNTIF($D:$D, D281) &gt; 1, "")</f>
        <v>1</v>
      </c>
      <c r="C281" s="1">
        <v>101192621</v>
      </c>
      <c r="D281" t="s">
        <v>1052</v>
      </c>
      <c r="E281" t="s">
        <v>21</v>
      </c>
      <c r="F281" t="s">
        <v>1053</v>
      </c>
      <c r="G281" t="s">
        <v>563</v>
      </c>
      <c r="H281" t="s">
        <v>1054</v>
      </c>
      <c r="I281" t="s">
        <v>1055</v>
      </c>
      <c r="J281" t="s">
        <v>2412</v>
      </c>
      <c r="K281" t="s">
        <v>2412</v>
      </c>
      <c r="L281" t="s">
        <v>1508</v>
      </c>
      <c r="M281" t="s">
        <v>1508</v>
      </c>
      <c r="N281" t="b">
        <v>1</v>
      </c>
      <c r="O281" t="b">
        <v>1</v>
      </c>
      <c r="P281" t="b">
        <v>0</v>
      </c>
    </row>
    <row r="282" spans="1:16" x14ac:dyDescent="0.45">
      <c r="A282" t="s">
        <v>1790</v>
      </c>
      <c r="B282" t="b">
        <f>IF(A282="WDS", COUNTIF($D:$D, D282) &gt; 1, "")</f>
        <v>0</v>
      </c>
      <c r="C282" s="1">
        <v>101192339</v>
      </c>
      <c r="D282" t="s">
        <v>1509</v>
      </c>
      <c r="E282" t="s">
        <v>21</v>
      </c>
      <c r="F282" t="s">
        <v>1510</v>
      </c>
      <c r="G282" t="s">
        <v>1192</v>
      </c>
      <c r="H282" t="s">
        <v>1511</v>
      </c>
      <c r="I282" t="s">
        <v>1512</v>
      </c>
      <c r="J282" t="s">
        <v>2413</v>
      </c>
      <c r="K282" t="s">
        <v>2413</v>
      </c>
      <c r="L282" t="s">
        <v>1513</v>
      </c>
      <c r="M282" t="s">
        <v>1513</v>
      </c>
      <c r="N282" t="b">
        <v>1</v>
      </c>
      <c r="O282" t="b">
        <v>1</v>
      </c>
      <c r="P282" t="b">
        <v>0</v>
      </c>
    </row>
    <row r="283" spans="1:16" x14ac:dyDescent="0.45">
      <c r="A283" t="s">
        <v>1790</v>
      </c>
      <c r="B283" t="b">
        <f>IF(A283="WDS", COUNTIF($D:$D, D283) &gt; 1, "")</f>
        <v>0</v>
      </c>
      <c r="C283" s="1">
        <v>101189534</v>
      </c>
      <c r="D283" t="s">
        <v>1514</v>
      </c>
      <c r="E283" t="s">
        <v>21</v>
      </c>
      <c r="F283" t="s">
        <v>1515</v>
      </c>
      <c r="G283" t="s">
        <v>1303</v>
      </c>
      <c r="H283" t="s">
        <v>1516</v>
      </c>
      <c r="I283" t="s">
        <v>1517</v>
      </c>
      <c r="J283" t="s">
        <v>2414</v>
      </c>
      <c r="K283" t="s">
        <v>2415</v>
      </c>
      <c r="L283" t="s">
        <v>1518</v>
      </c>
      <c r="M283" t="s">
        <v>1519</v>
      </c>
      <c r="N283" t="b">
        <v>1</v>
      </c>
      <c r="O283" t="b">
        <v>1</v>
      </c>
      <c r="P283" t="b">
        <v>0</v>
      </c>
    </row>
    <row r="284" spans="1:16" x14ac:dyDescent="0.45">
      <c r="A284" t="s">
        <v>1790</v>
      </c>
      <c r="B284" t="b">
        <f>IF(A284="WDS", COUNTIF($D:$D, D284) &gt; 1, "")</f>
        <v>1</v>
      </c>
      <c r="C284" s="1">
        <v>101183627</v>
      </c>
      <c r="D284" t="s">
        <v>1520</v>
      </c>
      <c r="E284" t="s">
        <v>21</v>
      </c>
      <c r="F284" t="s">
        <v>1521</v>
      </c>
      <c r="G284" t="s">
        <v>724</v>
      </c>
      <c r="H284" t="s">
        <v>1522</v>
      </c>
      <c r="I284" t="s">
        <v>1523</v>
      </c>
      <c r="J284" t="s">
        <v>2416</v>
      </c>
      <c r="K284" t="s">
        <v>2417</v>
      </c>
      <c r="L284" t="s">
        <v>1524</v>
      </c>
      <c r="M284" t="s">
        <v>1525</v>
      </c>
      <c r="N284" t="b">
        <v>1</v>
      </c>
      <c r="O284" t="b">
        <v>1</v>
      </c>
      <c r="P284" t="b">
        <v>0</v>
      </c>
    </row>
    <row r="285" spans="1:16" x14ac:dyDescent="0.45">
      <c r="A285" t="s">
        <v>1790</v>
      </c>
      <c r="B285" t="b">
        <f>IF(A285="WDS", COUNTIF($D:$D, D285) &gt; 1, "")</f>
        <v>1</v>
      </c>
      <c r="C285" s="1">
        <v>101181840</v>
      </c>
      <c r="D285" t="s">
        <v>1241</v>
      </c>
      <c r="E285" t="s">
        <v>21</v>
      </c>
      <c r="F285" t="s">
        <v>1168</v>
      </c>
      <c r="G285" t="s">
        <v>524</v>
      </c>
      <c r="H285" t="s">
        <v>1526</v>
      </c>
      <c r="I285" t="s">
        <v>1527</v>
      </c>
      <c r="J285" t="s">
        <v>2418</v>
      </c>
      <c r="K285" t="s">
        <v>2419</v>
      </c>
      <c r="L285" t="s">
        <v>1528</v>
      </c>
      <c r="M285" t="s">
        <v>1529</v>
      </c>
      <c r="N285" t="b">
        <v>1</v>
      </c>
      <c r="O285" t="b">
        <v>1</v>
      </c>
      <c r="P285" t="b">
        <v>0</v>
      </c>
    </row>
    <row r="286" spans="1:16" x14ac:dyDescent="0.45">
      <c r="A286" t="s">
        <v>1790</v>
      </c>
      <c r="B286" t="b">
        <f>IF(A286="WDS", COUNTIF($D:$D, D286) &gt; 1, "")</f>
        <v>1</v>
      </c>
      <c r="C286" s="1">
        <v>101181522</v>
      </c>
      <c r="D286" t="s">
        <v>1530</v>
      </c>
      <c r="E286" t="s">
        <v>21</v>
      </c>
      <c r="F286" t="s">
        <v>801</v>
      </c>
      <c r="G286" t="s">
        <v>311</v>
      </c>
      <c r="H286" t="s">
        <v>1531</v>
      </c>
      <c r="I286" t="s">
        <v>1532</v>
      </c>
      <c r="J286" t="s">
        <v>2420</v>
      </c>
      <c r="K286" t="s">
        <v>2420</v>
      </c>
      <c r="L286" t="s">
        <v>1533</v>
      </c>
      <c r="M286" t="s">
        <v>1533</v>
      </c>
      <c r="N286" t="b">
        <v>1</v>
      </c>
      <c r="O286" t="b">
        <v>1</v>
      </c>
      <c r="P286" t="b">
        <v>0</v>
      </c>
    </row>
    <row r="287" spans="1:16" x14ac:dyDescent="0.45">
      <c r="A287" t="s">
        <v>1790</v>
      </c>
      <c r="B287" t="b">
        <f>IF(A287="WDS", COUNTIF($D:$D, D287) &gt; 1, "")</f>
        <v>0</v>
      </c>
      <c r="C287" s="1">
        <v>101179777</v>
      </c>
      <c r="D287" t="s">
        <v>1534</v>
      </c>
      <c r="E287" t="s">
        <v>21</v>
      </c>
      <c r="F287" t="s">
        <v>1535</v>
      </c>
      <c r="G287" t="s">
        <v>1536</v>
      </c>
      <c r="H287" t="s">
        <v>1537</v>
      </c>
      <c r="I287" t="s">
        <v>1538</v>
      </c>
      <c r="J287" t="s">
        <v>2421</v>
      </c>
      <c r="K287" t="s">
        <v>2422</v>
      </c>
      <c r="L287" t="s">
        <v>1539</v>
      </c>
      <c r="M287" t="s">
        <v>1540</v>
      </c>
      <c r="N287" t="b">
        <v>1</v>
      </c>
      <c r="O287" t="b">
        <v>1</v>
      </c>
      <c r="P287" t="b">
        <v>0</v>
      </c>
    </row>
    <row r="288" spans="1:16" x14ac:dyDescent="0.45">
      <c r="A288" t="s">
        <v>1790</v>
      </c>
      <c r="B288" t="b">
        <f>IF(A288="WDS", COUNTIF($D:$D, D288) &gt; 1, "")</f>
        <v>0</v>
      </c>
      <c r="C288" s="1">
        <v>101178281</v>
      </c>
      <c r="D288" t="s">
        <v>1541</v>
      </c>
      <c r="E288" t="s">
        <v>21</v>
      </c>
      <c r="F288" t="s">
        <v>1542</v>
      </c>
      <c r="G288" t="s">
        <v>1543</v>
      </c>
      <c r="H288" t="s">
        <v>1544</v>
      </c>
      <c r="I288" t="s">
        <v>1545</v>
      </c>
      <c r="J288" t="s">
        <v>2423</v>
      </c>
      <c r="K288" t="s">
        <v>2423</v>
      </c>
      <c r="L288" t="s">
        <v>1546</v>
      </c>
      <c r="M288" t="s">
        <v>1546</v>
      </c>
      <c r="N288" t="b">
        <v>1</v>
      </c>
      <c r="O288" t="b">
        <v>1</v>
      </c>
      <c r="P288" t="b">
        <v>0</v>
      </c>
    </row>
    <row r="289" spans="1:16" x14ac:dyDescent="0.45">
      <c r="A289" t="s">
        <v>1790</v>
      </c>
      <c r="B289" t="b">
        <f>IF(A289="WDS", COUNTIF($D:$D, D289) &gt; 1, "")</f>
        <v>0</v>
      </c>
      <c r="C289" s="1">
        <v>101174831</v>
      </c>
      <c r="D289" t="s">
        <v>1547</v>
      </c>
      <c r="E289" t="s">
        <v>21</v>
      </c>
      <c r="F289" t="s">
        <v>1548</v>
      </c>
      <c r="G289" t="s">
        <v>718</v>
      </c>
      <c r="H289" t="s">
        <v>1549</v>
      </c>
      <c r="I289" t="s">
        <v>1550</v>
      </c>
      <c r="J289" t="s">
        <v>2424</v>
      </c>
      <c r="K289" t="s">
        <v>2424</v>
      </c>
      <c r="L289" t="s">
        <v>1551</v>
      </c>
      <c r="M289" t="s">
        <v>1551</v>
      </c>
      <c r="N289" t="b">
        <v>1</v>
      </c>
      <c r="O289" t="b">
        <v>1</v>
      </c>
      <c r="P289" t="b">
        <v>0</v>
      </c>
    </row>
    <row r="290" spans="1:16" x14ac:dyDescent="0.45">
      <c r="A290" t="s">
        <v>1790</v>
      </c>
      <c r="B290" t="b">
        <f>IF(A290="WDS", COUNTIF($D:$D, D290) &gt; 1, "")</f>
        <v>0</v>
      </c>
      <c r="C290" s="1">
        <v>101174134</v>
      </c>
      <c r="D290" t="s">
        <v>1552</v>
      </c>
      <c r="E290" t="s">
        <v>21</v>
      </c>
      <c r="F290" t="s">
        <v>1280</v>
      </c>
      <c r="G290" t="s">
        <v>1281</v>
      </c>
      <c r="H290" t="s">
        <v>1553</v>
      </c>
      <c r="I290" t="s">
        <v>1554</v>
      </c>
      <c r="J290" t="s">
        <v>2425</v>
      </c>
      <c r="K290" t="s">
        <v>2425</v>
      </c>
      <c r="L290" t="s">
        <v>1555</v>
      </c>
      <c r="M290" t="s">
        <v>1555</v>
      </c>
      <c r="N290" t="b">
        <v>1</v>
      </c>
      <c r="O290" t="b">
        <v>1</v>
      </c>
      <c r="P290" t="b">
        <v>0</v>
      </c>
    </row>
    <row r="291" spans="1:16" x14ac:dyDescent="0.45">
      <c r="A291" t="s">
        <v>1790</v>
      </c>
      <c r="B291" t="b">
        <f>IF(A291="WDS", COUNTIF($D:$D, D291) &gt; 1, "")</f>
        <v>0</v>
      </c>
      <c r="C291" s="1">
        <v>101169297</v>
      </c>
      <c r="D291" t="s">
        <v>1556</v>
      </c>
      <c r="E291" t="s">
        <v>21</v>
      </c>
      <c r="F291" t="s">
        <v>1557</v>
      </c>
      <c r="G291" t="s">
        <v>847</v>
      </c>
      <c r="H291" t="s">
        <v>1558</v>
      </c>
      <c r="I291" t="s">
        <v>1559</v>
      </c>
      <c r="J291" t="s">
        <v>2320</v>
      </c>
      <c r="K291" t="s">
        <v>2426</v>
      </c>
      <c r="L291" t="s">
        <v>1083</v>
      </c>
      <c r="M291" t="s">
        <v>1560</v>
      </c>
      <c r="N291" t="b">
        <v>1</v>
      </c>
      <c r="O291" t="b">
        <v>1</v>
      </c>
      <c r="P291" t="b">
        <v>0</v>
      </c>
    </row>
    <row r="292" spans="1:16" x14ac:dyDescent="0.45">
      <c r="A292" t="s">
        <v>1790</v>
      </c>
      <c r="B292" t="b">
        <f>IF(A292="WDS", COUNTIF($D:$D, D292) &gt; 1, "")</f>
        <v>0</v>
      </c>
      <c r="C292" s="1">
        <v>101169018</v>
      </c>
      <c r="D292" t="s">
        <v>1561</v>
      </c>
      <c r="E292" t="s">
        <v>21</v>
      </c>
      <c r="F292" t="s">
        <v>1562</v>
      </c>
      <c r="G292" t="s">
        <v>1563</v>
      </c>
      <c r="H292" t="s">
        <v>1564</v>
      </c>
      <c r="I292" t="s">
        <v>1565</v>
      </c>
      <c r="J292" t="s">
        <v>2427</v>
      </c>
      <c r="K292" t="s">
        <v>2427</v>
      </c>
      <c r="L292" t="s">
        <v>1566</v>
      </c>
      <c r="M292" t="s">
        <v>1566</v>
      </c>
      <c r="N292" t="b">
        <v>1</v>
      </c>
      <c r="O292" t="b">
        <v>1</v>
      </c>
      <c r="P292" t="b">
        <v>0</v>
      </c>
    </row>
    <row r="293" spans="1:16" x14ac:dyDescent="0.45">
      <c r="A293" t="s">
        <v>1790</v>
      </c>
      <c r="B293" t="b">
        <f>IF(A293="WDS", COUNTIF($D:$D, D293) &gt; 1, "")</f>
        <v>0</v>
      </c>
      <c r="C293" s="1">
        <v>101161956</v>
      </c>
      <c r="D293" t="s">
        <v>1567</v>
      </c>
      <c r="E293" t="s">
        <v>21</v>
      </c>
      <c r="F293" t="s">
        <v>1568</v>
      </c>
      <c r="G293" t="s">
        <v>195</v>
      </c>
      <c r="H293" t="s">
        <v>1569</v>
      </c>
      <c r="I293" t="s">
        <v>1570</v>
      </c>
      <c r="J293" t="s">
        <v>2428</v>
      </c>
      <c r="K293" t="s">
        <v>2429</v>
      </c>
      <c r="L293" t="s">
        <v>1571</v>
      </c>
      <c r="M293" t="s">
        <v>1572</v>
      </c>
      <c r="N293" t="b">
        <v>1</v>
      </c>
      <c r="O293" t="b">
        <v>0</v>
      </c>
      <c r="P293" t="b">
        <v>0</v>
      </c>
    </row>
    <row r="294" spans="1:16" x14ac:dyDescent="0.45">
      <c r="A294" t="s">
        <v>1790</v>
      </c>
      <c r="B294" t="b">
        <f>IF(A294="WDS", COUNTIF($D:$D, D294) &gt; 1, "")</f>
        <v>0</v>
      </c>
      <c r="C294" s="1">
        <v>101157863</v>
      </c>
      <c r="D294" t="s">
        <v>1573</v>
      </c>
      <c r="E294" t="s">
        <v>21</v>
      </c>
      <c r="F294" t="s">
        <v>1574</v>
      </c>
      <c r="G294" t="s">
        <v>1575</v>
      </c>
      <c r="H294" t="s">
        <v>1576</v>
      </c>
      <c r="I294" t="s">
        <v>1577</v>
      </c>
      <c r="J294" t="s">
        <v>2430</v>
      </c>
      <c r="K294" t="s">
        <v>2431</v>
      </c>
      <c r="L294" t="s">
        <v>1578</v>
      </c>
      <c r="M294" t="s">
        <v>1579</v>
      </c>
      <c r="N294" t="b">
        <v>1</v>
      </c>
      <c r="O294" t="b">
        <v>1</v>
      </c>
      <c r="P294" t="b">
        <v>0</v>
      </c>
    </row>
    <row r="295" spans="1:16" x14ac:dyDescent="0.45">
      <c r="A295" t="s">
        <v>1790</v>
      </c>
      <c r="B295" t="b">
        <f>IF(A295="WDS", COUNTIF($D:$D, D295) &gt; 1, "")</f>
        <v>0</v>
      </c>
      <c r="C295" s="1">
        <v>101157747</v>
      </c>
      <c r="D295" t="s">
        <v>1580</v>
      </c>
      <c r="E295" t="s">
        <v>21</v>
      </c>
      <c r="F295" t="s">
        <v>1581</v>
      </c>
      <c r="G295" t="s">
        <v>213</v>
      </c>
      <c r="H295" t="s">
        <v>1582</v>
      </c>
      <c r="I295" t="s">
        <v>1583</v>
      </c>
      <c r="J295" t="s">
        <v>2432</v>
      </c>
      <c r="K295" t="s">
        <v>2433</v>
      </c>
      <c r="L295" t="s">
        <v>1584</v>
      </c>
      <c r="M295" t="s">
        <v>1585</v>
      </c>
      <c r="N295" t="b">
        <v>1</v>
      </c>
      <c r="O295" t="b">
        <v>1</v>
      </c>
      <c r="P295" t="b">
        <v>0</v>
      </c>
    </row>
    <row r="296" spans="1:16" x14ac:dyDescent="0.45">
      <c r="A296" t="s">
        <v>1790</v>
      </c>
      <c r="B296" t="b">
        <f>IF(A296="WDS", COUNTIF($D:$D, D296) &gt; 1, "")</f>
        <v>1</v>
      </c>
      <c r="C296" s="1">
        <v>101155406</v>
      </c>
      <c r="D296" t="s">
        <v>1111</v>
      </c>
      <c r="E296" t="s">
        <v>21</v>
      </c>
      <c r="F296" t="s">
        <v>1112</v>
      </c>
      <c r="G296" t="s">
        <v>557</v>
      </c>
      <c r="H296" t="s">
        <v>1586</v>
      </c>
      <c r="I296" t="s">
        <v>1587</v>
      </c>
      <c r="J296" t="s">
        <v>2324</v>
      </c>
      <c r="K296" t="s">
        <v>2324</v>
      </c>
      <c r="L296" t="s">
        <v>1115</v>
      </c>
      <c r="M296" t="s">
        <v>1115</v>
      </c>
      <c r="N296" t="b">
        <v>1</v>
      </c>
      <c r="O296" t="b">
        <v>1</v>
      </c>
      <c r="P296" t="b">
        <v>0</v>
      </c>
    </row>
    <row r="297" spans="1:16" x14ac:dyDescent="0.45">
      <c r="A297" t="s">
        <v>1790</v>
      </c>
      <c r="B297" t="b">
        <f>IF(A297="WDS", COUNTIF($D:$D, D297) &gt; 1, "")</f>
        <v>0</v>
      </c>
      <c r="C297" s="1">
        <v>101155288</v>
      </c>
      <c r="D297" t="s">
        <v>1588</v>
      </c>
      <c r="E297" t="s">
        <v>21</v>
      </c>
      <c r="F297" t="s">
        <v>1589</v>
      </c>
      <c r="G297" t="s">
        <v>228</v>
      </c>
      <c r="H297" t="s">
        <v>1590</v>
      </c>
      <c r="I297" t="s">
        <v>1591</v>
      </c>
      <c r="J297" t="s">
        <v>2434</v>
      </c>
      <c r="K297" t="s">
        <v>2435</v>
      </c>
      <c r="L297" t="s">
        <v>1592</v>
      </c>
      <c r="M297" t="s">
        <v>1593</v>
      </c>
      <c r="N297" t="b">
        <v>1</v>
      </c>
      <c r="O297" t="b">
        <v>1</v>
      </c>
      <c r="P297" t="b">
        <v>0</v>
      </c>
    </row>
    <row r="298" spans="1:16" x14ac:dyDescent="0.45">
      <c r="A298" t="s">
        <v>1790</v>
      </c>
      <c r="B298" t="b">
        <f>IF(A298="WDS", COUNTIF($D:$D, D298) &gt; 1, "")</f>
        <v>1</v>
      </c>
      <c r="C298" s="1">
        <v>101151024</v>
      </c>
      <c r="D298" t="s">
        <v>1520</v>
      </c>
      <c r="E298" t="s">
        <v>21</v>
      </c>
      <c r="F298" t="s">
        <v>1521</v>
      </c>
      <c r="G298" t="s">
        <v>724</v>
      </c>
      <c r="H298" t="s">
        <v>1522</v>
      </c>
      <c r="I298" t="s">
        <v>1523</v>
      </c>
      <c r="J298" t="s">
        <v>2416</v>
      </c>
      <c r="K298" t="s">
        <v>2417</v>
      </c>
      <c r="L298" t="s">
        <v>1524</v>
      </c>
      <c r="M298" t="s">
        <v>1525</v>
      </c>
      <c r="N298" t="b">
        <v>1</v>
      </c>
      <c r="O298" t="b">
        <v>1</v>
      </c>
      <c r="P298" t="b">
        <v>0</v>
      </c>
    </row>
    <row r="299" spans="1:16" x14ac:dyDescent="0.45">
      <c r="A299" t="s">
        <v>1790</v>
      </c>
      <c r="B299" t="b">
        <f>IF(A299="WDS", COUNTIF($D:$D, D299) &gt; 1, "")</f>
        <v>1</v>
      </c>
      <c r="C299" s="1">
        <v>101150712</v>
      </c>
      <c r="D299" t="s">
        <v>1594</v>
      </c>
      <c r="E299" t="s">
        <v>21</v>
      </c>
      <c r="F299" t="s">
        <v>1595</v>
      </c>
      <c r="G299" t="s">
        <v>1596</v>
      </c>
      <c r="H299" t="s">
        <v>1597</v>
      </c>
      <c r="I299" t="s">
        <v>1598</v>
      </c>
      <c r="J299" t="s">
        <v>2436</v>
      </c>
      <c r="K299" t="s">
        <v>2436</v>
      </c>
      <c r="L299" t="s">
        <v>1599</v>
      </c>
      <c r="M299" t="s">
        <v>1599</v>
      </c>
      <c r="N299" t="b">
        <v>1</v>
      </c>
      <c r="O299" t="b">
        <v>1</v>
      </c>
      <c r="P299" t="b">
        <v>0</v>
      </c>
    </row>
    <row r="300" spans="1:16" x14ac:dyDescent="0.45">
      <c r="A300" t="s">
        <v>1790</v>
      </c>
      <c r="B300" t="b">
        <f>IF(A300="WDS", COUNTIF($D:$D, D300) &gt; 1, "")</f>
        <v>1</v>
      </c>
      <c r="C300" s="1">
        <v>101149258</v>
      </c>
      <c r="D300" t="s">
        <v>1594</v>
      </c>
      <c r="E300" t="s">
        <v>21</v>
      </c>
      <c r="F300" t="s">
        <v>1600</v>
      </c>
      <c r="G300" t="s">
        <v>611</v>
      </c>
      <c r="H300" t="s">
        <v>1601</v>
      </c>
      <c r="I300" t="s">
        <v>1602</v>
      </c>
      <c r="J300" t="s">
        <v>2436</v>
      </c>
      <c r="K300" t="s">
        <v>2436</v>
      </c>
      <c r="L300" t="s">
        <v>1599</v>
      </c>
      <c r="M300" t="s">
        <v>1599</v>
      </c>
      <c r="N300" t="b">
        <v>1</v>
      </c>
      <c r="O300" t="b">
        <v>1</v>
      </c>
      <c r="P300" t="b">
        <v>0</v>
      </c>
    </row>
    <row r="301" spans="1:16" x14ac:dyDescent="0.45">
      <c r="A301" t="s">
        <v>1790</v>
      </c>
      <c r="B301" t="b">
        <f>IF(A301="WDS", COUNTIF($D:$D, D301) &gt; 1, "")</f>
        <v>0</v>
      </c>
      <c r="C301" s="1">
        <v>101149045</v>
      </c>
      <c r="D301" t="s">
        <v>1603</v>
      </c>
      <c r="E301" t="s">
        <v>21</v>
      </c>
      <c r="F301" t="s">
        <v>1604</v>
      </c>
      <c r="G301" t="s">
        <v>531</v>
      </c>
      <c r="H301" t="s">
        <v>1605</v>
      </c>
      <c r="I301" t="s">
        <v>1606</v>
      </c>
      <c r="J301" t="s">
        <v>2437</v>
      </c>
      <c r="K301" t="s">
        <v>2438</v>
      </c>
      <c r="L301" t="s">
        <v>1607</v>
      </c>
      <c r="M301" t="s">
        <v>1608</v>
      </c>
      <c r="N301" t="b">
        <v>1</v>
      </c>
      <c r="O301" t="b">
        <v>1</v>
      </c>
      <c r="P301" t="b">
        <v>0</v>
      </c>
    </row>
    <row r="302" spans="1:16" x14ac:dyDescent="0.45">
      <c r="A302" t="s">
        <v>1790</v>
      </c>
      <c r="B302" t="b">
        <f>IF(A302="WDS", COUNTIF($D:$D, D302) &gt; 1, "")</f>
        <v>0</v>
      </c>
      <c r="C302" s="1">
        <v>101144470</v>
      </c>
      <c r="D302" t="s">
        <v>1609</v>
      </c>
      <c r="E302" t="s">
        <v>21</v>
      </c>
      <c r="F302" t="s">
        <v>650</v>
      </c>
      <c r="G302" t="s">
        <v>311</v>
      </c>
      <c r="H302" t="s">
        <v>1610</v>
      </c>
      <c r="I302" t="s">
        <v>1611</v>
      </c>
      <c r="J302" t="s">
        <v>2439</v>
      </c>
      <c r="K302" t="s">
        <v>2439</v>
      </c>
      <c r="L302" t="s">
        <v>1612</v>
      </c>
      <c r="M302" t="s">
        <v>1612</v>
      </c>
      <c r="N302" t="b">
        <v>1</v>
      </c>
      <c r="O302" t="b">
        <v>1</v>
      </c>
      <c r="P302" t="b">
        <v>0</v>
      </c>
    </row>
    <row r="303" spans="1:16" x14ac:dyDescent="0.45">
      <c r="A303" t="s">
        <v>1790</v>
      </c>
      <c r="B303" t="b">
        <f>IF(A303="WDS", COUNTIF($D:$D, D303) &gt; 1, "")</f>
        <v>0</v>
      </c>
      <c r="C303" s="1">
        <v>101141576</v>
      </c>
      <c r="D303" t="s">
        <v>1613</v>
      </c>
      <c r="E303" t="s">
        <v>21</v>
      </c>
      <c r="F303" t="s">
        <v>1128</v>
      </c>
      <c r="G303" t="s">
        <v>54</v>
      </c>
      <c r="H303" t="s">
        <v>1614</v>
      </c>
      <c r="I303" t="s">
        <v>1615</v>
      </c>
      <c r="J303" t="s">
        <v>2328</v>
      </c>
      <c r="K303" t="s">
        <v>2328</v>
      </c>
      <c r="L303" t="s">
        <v>1131</v>
      </c>
      <c r="M303" t="s">
        <v>1131</v>
      </c>
      <c r="N303" t="b">
        <v>1</v>
      </c>
      <c r="O303" t="b">
        <v>1</v>
      </c>
      <c r="P303" t="b">
        <v>0</v>
      </c>
    </row>
    <row r="304" spans="1:16" x14ac:dyDescent="0.45">
      <c r="A304" t="s">
        <v>1790</v>
      </c>
      <c r="B304" t="b">
        <f>IF(A304="WDS", COUNTIF($D:$D, D304) &gt; 1, "")</f>
        <v>0</v>
      </c>
      <c r="C304" s="1">
        <v>101138924</v>
      </c>
      <c r="D304" t="s">
        <v>1616</v>
      </c>
      <c r="E304" t="s">
        <v>21</v>
      </c>
      <c r="F304" t="s">
        <v>430</v>
      </c>
      <c r="G304" t="s">
        <v>140</v>
      </c>
      <c r="H304" t="s">
        <v>431</v>
      </c>
      <c r="I304" t="s">
        <v>432</v>
      </c>
      <c r="J304" t="s">
        <v>2186</v>
      </c>
      <c r="K304" t="s">
        <v>2440</v>
      </c>
      <c r="L304" t="s">
        <v>433</v>
      </c>
      <c r="M304" t="s">
        <v>1617</v>
      </c>
      <c r="N304" t="b">
        <v>1</v>
      </c>
      <c r="O304" t="b">
        <v>1</v>
      </c>
      <c r="P304" t="b">
        <v>0</v>
      </c>
    </row>
    <row r="305" spans="1:16" x14ac:dyDescent="0.45">
      <c r="A305" t="s">
        <v>1790</v>
      </c>
      <c r="B305" t="b">
        <f>IF(A305="WDS", COUNTIF($D:$D, D305) &gt; 1, "")</f>
        <v>0</v>
      </c>
      <c r="C305" s="1">
        <v>101132603</v>
      </c>
      <c r="D305" t="s">
        <v>1618</v>
      </c>
      <c r="E305" t="s">
        <v>21</v>
      </c>
      <c r="F305" t="s">
        <v>1619</v>
      </c>
      <c r="G305" t="s">
        <v>175</v>
      </c>
      <c r="H305" t="s">
        <v>1620</v>
      </c>
      <c r="I305" t="s">
        <v>1621</v>
      </c>
      <c r="J305" t="s">
        <v>2441</v>
      </c>
      <c r="K305" t="s">
        <v>2442</v>
      </c>
      <c r="L305" t="s">
        <v>1622</v>
      </c>
      <c r="M305" t="s">
        <v>1623</v>
      </c>
      <c r="N305" t="b">
        <v>1</v>
      </c>
      <c r="O305" t="b">
        <v>1</v>
      </c>
      <c r="P305" t="b">
        <v>0</v>
      </c>
    </row>
    <row r="306" spans="1:16" x14ac:dyDescent="0.45">
      <c r="A306" t="s">
        <v>1790</v>
      </c>
      <c r="B306" t="b">
        <f>IF(A306="WDS", COUNTIF($D:$D, D306) &gt; 1, "")</f>
        <v>0</v>
      </c>
      <c r="C306" s="1">
        <v>101105886</v>
      </c>
      <c r="D306" t="s">
        <v>1624</v>
      </c>
      <c r="E306" t="s">
        <v>21</v>
      </c>
      <c r="F306" t="s">
        <v>1625</v>
      </c>
      <c r="G306" t="s">
        <v>611</v>
      </c>
      <c r="H306" t="s">
        <v>1626</v>
      </c>
      <c r="I306" t="s">
        <v>1627</v>
      </c>
      <c r="J306" t="s">
        <v>2443</v>
      </c>
      <c r="K306" t="s">
        <v>2444</v>
      </c>
      <c r="L306" t="s">
        <v>1628</v>
      </c>
      <c r="M306" t="s">
        <v>1629</v>
      </c>
      <c r="N306" t="b">
        <v>1</v>
      </c>
      <c r="O306" t="b">
        <v>1</v>
      </c>
      <c r="P306" t="b">
        <v>0</v>
      </c>
    </row>
    <row r="307" spans="1:16" x14ac:dyDescent="0.45">
      <c r="A307" t="s">
        <v>1790</v>
      </c>
      <c r="B307" t="b">
        <f>IF(A307="WDS", COUNTIF($D:$D, D307) &gt; 1, "")</f>
        <v>0</v>
      </c>
      <c r="C307" s="1">
        <v>101098234</v>
      </c>
      <c r="D307" t="s">
        <v>1630</v>
      </c>
      <c r="E307" t="s">
        <v>21</v>
      </c>
      <c r="F307" t="s">
        <v>1631</v>
      </c>
      <c r="G307" t="s">
        <v>207</v>
      </c>
      <c r="H307" t="s">
        <v>1632</v>
      </c>
      <c r="I307" t="s">
        <v>1633</v>
      </c>
      <c r="J307" t="s">
        <v>2445</v>
      </c>
      <c r="K307" t="s">
        <v>2446</v>
      </c>
      <c r="L307" t="s">
        <v>1634</v>
      </c>
      <c r="M307" t="s">
        <v>1635</v>
      </c>
      <c r="N307" t="b">
        <v>1</v>
      </c>
      <c r="O307" t="b">
        <v>1</v>
      </c>
      <c r="P307" t="b">
        <v>0</v>
      </c>
    </row>
    <row r="308" spans="1:16" x14ac:dyDescent="0.45">
      <c r="A308" t="s">
        <v>1790</v>
      </c>
      <c r="B308" t="b">
        <f>IF(A308="WDS", COUNTIF($D:$D, D308) &gt; 1, "")</f>
        <v>0</v>
      </c>
      <c r="C308" s="1">
        <v>101096714</v>
      </c>
      <c r="D308" t="s">
        <v>1636</v>
      </c>
      <c r="E308" t="s">
        <v>21</v>
      </c>
      <c r="F308" t="s">
        <v>1637</v>
      </c>
      <c r="G308" t="s">
        <v>629</v>
      </c>
      <c r="H308" t="s">
        <v>1638</v>
      </c>
      <c r="I308" t="s">
        <v>1639</v>
      </c>
      <c r="J308" t="s">
        <v>2447</v>
      </c>
      <c r="K308" t="s">
        <v>2447</v>
      </c>
      <c r="L308" t="s">
        <v>1640</v>
      </c>
      <c r="M308" t="s">
        <v>1640</v>
      </c>
      <c r="N308" t="b">
        <v>1</v>
      </c>
      <c r="O308" t="b">
        <v>1</v>
      </c>
      <c r="P308" t="b">
        <v>0</v>
      </c>
    </row>
    <row r="309" spans="1:16" x14ac:dyDescent="0.45">
      <c r="A309" t="s">
        <v>1790</v>
      </c>
      <c r="B309" t="b">
        <f>IF(A309="WDS", COUNTIF($D:$D, D309) &gt; 1, "")</f>
        <v>0</v>
      </c>
      <c r="C309" s="1">
        <v>101092810</v>
      </c>
      <c r="D309" t="s">
        <v>1641</v>
      </c>
      <c r="E309" t="s">
        <v>21</v>
      </c>
      <c r="F309" t="s">
        <v>1355</v>
      </c>
      <c r="G309" t="s">
        <v>140</v>
      </c>
      <c r="H309" t="s">
        <v>1642</v>
      </c>
      <c r="I309" t="s">
        <v>1643</v>
      </c>
      <c r="J309" t="s">
        <v>2448</v>
      </c>
      <c r="K309" t="s">
        <v>2448</v>
      </c>
      <c r="L309" t="s">
        <v>1644</v>
      </c>
      <c r="M309" t="s">
        <v>1644</v>
      </c>
      <c r="N309" t="b">
        <v>1</v>
      </c>
      <c r="O309" t="b">
        <v>1</v>
      </c>
      <c r="P309" t="b">
        <v>0</v>
      </c>
    </row>
    <row r="310" spans="1:16" x14ac:dyDescent="0.45">
      <c r="A310" t="s">
        <v>1790</v>
      </c>
      <c r="B310" t="b">
        <f>IF(A310="WDS", COUNTIF($D:$D, D310) &gt; 1, "")</f>
        <v>0</v>
      </c>
      <c r="C310" s="1">
        <v>101092618</v>
      </c>
      <c r="D310" t="s">
        <v>1645</v>
      </c>
      <c r="E310" t="s">
        <v>21</v>
      </c>
      <c r="F310" t="s">
        <v>1646</v>
      </c>
      <c r="G310" t="s">
        <v>114</v>
      </c>
      <c r="H310" t="s">
        <v>1647</v>
      </c>
      <c r="I310" t="s">
        <v>1648</v>
      </c>
      <c r="J310" t="s">
        <v>2449</v>
      </c>
      <c r="K310" t="s">
        <v>2449</v>
      </c>
      <c r="L310" t="s">
        <v>1649</v>
      </c>
      <c r="M310" t="s">
        <v>1649</v>
      </c>
      <c r="N310" t="b">
        <v>1</v>
      </c>
      <c r="O310" t="b">
        <v>1</v>
      </c>
      <c r="P310" t="b">
        <v>0</v>
      </c>
    </row>
    <row r="311" spans="1:16" x14ac:dyDescent="0.45">
      <c r="A311" t="s">
        <v>1790</v>
      </c>
      <c r="B311" t="b">
        <f>IF(A311="WDS", COUNTIF($D:$D, D311) &gt; 1, "")</f>
        <v>0</v>
      </c>
      <c r="C311" s="1">
        <v>101086348</v>
      </c>
      <c r="D311" t="s">
        <v>1650</v>
      </c>
      <c r="E311" t="s">
        <v>21</v>
      </c>
      <c r="F311" t="s">
        <v>1651</v>
      </c>
      <c r="G311" t="s">
        <v>234</v>
      </c>
      <c r="H311" t="s">
        <v>1652</v>
      </c>
      <c r="I311" t="s">
        <v>1653</v>
      </c>
      <c r="J311" t="s">
        <v>2450</v>
      </c>
      <c r="K311" t="s">
        <v>2450</v>
      </c>
      <c r="L311" t="s">
        <v>1654</v>
      </c>
      <c r="M311" t="s">
        <v>1654</v>
      </c>
      <c r="N311" t="b">
        <v>1</v>
      </c>
      <c r="O311" t="b">
        <v>1</v>
      </c>
      <c r="P311" t="b">
        <v>0</v>
      </c>
    </row>
    <row r="312" spans="1:16" x14ac:dyDescent="0.45">
      <c r="A312" t="s">
        <v>1790</v>
      </c>
      <c r="B312" t="b">
        <f>IF(A312="WDS", COUNTIF($D:$D, D312) &gt; 1, "")</f>
        <v>0</v>
      </c>
      <c r="C312" s="1">
        <v>101085916</v>
      </c>
      <c r="D312" t="s">
        <v>1655</v>
      </c>
      <c r="E312" t="s">
        <v>21</v>
      </c>
      <c r="F312" t="s">
        <v>1656</v>
      </c>
      <c r="G312" t="s">
        <v>1657</v>
      </c>
      <c r="H312" t="s">
        <v>1658</v>
      </c>
      <c r="I312" t="s">
        <v>1659</v>
      </c>
      <c r="J312" t="s">
        <v>2451</v>
      </c>
      <c r="K312" t="s">
        <v>2451</v>
      </c>
      <c r="L312" t="s">
        <v>1660</v>
      </c>
      <c r="M312" t="s">
        <v>1660</v>
      </c>
      <c r="N312" t="b">
        <v>1</v>
      </c>
      <c r="O312" t="b">
        <v>1</v>
      </c>
      <c r="P312" t="b">
        <v>0</v>
      </c>
    </row>
    <row r="313" spans="1:16" x14ac:dyDescent="0.45">
      <c r="A313" t="s">
        <v>1790</v>
      </c>
      <c r="B313" t="b">
        <f>IF(A313="WDS", COUNTIF($D:$D, D313) &gt; 1, "")</f>
        <v>0</v>
      </c>
      <c r="C313" s="1">
        <v>101085068</v>
      </c>
      <c r="D313" t="s">
        <v>1661</v>
      </c>
      <c r="E313" t="s">
        <v>21</v>
      </c>
      <c r="F313" t="s">
        <v>1662</v>
      </c>
      <c r="G313" t="s">
        <v>524</v>
      </c>
      <c r="H313" t="s">
        <v>1663</v>
      </c>
      <c r="I313" t="s">
        <v>1664</v>
      </c>
      <c r="J313" t="s">
        <v>2452</v>
      </c>
      <c r="K313" t="s">
        <v>2452</v>
      </c>
      <c r="L313" t="s">
        <v>1665</v>
      </c>
      <c r="M313" t="s">
        <v>1665</v>
      </c>
      <c r="N313" t="b">
        <v>1</v>
      </c>
      <c r="O313" t="b">
        <v>1</v>
      </c>
      <c r="P313" t="b">
        <v>0</v>
      </c>
    </row>
    <row r="314" spans="1:16" x14ac:dyDescent="0.45">
      <c r="A314" t="s">
        <v>1790</v>
      </c>
      <c r="B314" t="b">
        <f>IF(A314="WDS", COUNTIF($D:$D, D314) &gt; 1, "")</f>
        <v>0</v>
      </c>
      <c r="C314" s="1">
        <v>101082749</v>
      </c>
      <c r="D314" t="s">
        <v>1666</v>
      </c>
      <c r="E314" t="s">
        <v>21</v>
      </c>
      <c r="F314" t="s">
        <v>1667</v>
      </c>
      <c r="G314" t="s">
        <v>775</v>
      </c>
      <c r="H314" t="s">
        <v>1668</v>
      </c>
      <c r="I314" t="s">
        <v>1669</v>
      </c>
      <c r="J314" t="s">
        <v>2453</v>
      </c>
      <c r="K314" t="s">
        <v>2453</v>
      </c>
      <c r="L314" t="s">
        <v>1670</v>
      </c>
      <c r="M314" t="s">
        <v>1670</v>
      </c>
      <c r="N314" t="b">
        <v>1</v>
      </c>
      <c r="O314" t="b">
        <v>1</v>
      </c>
      <c r="P314" t="b">
        <v>0</v>
      </c>
    </row>
    <row r="315" spans="1:16" x14ac:dyDescent="0.45">
      <c r="A315" t="s">
        <v>1790</v>
      </c>
      <c r="B315" t="b">
        <f>IF(A315="WDS", COUNTIF($D:$D, D315) &gt; 1, "")</f>
        <v>0</v>
      </c>
      <c r="C315" s="1">
        <v>101082025</v>
      </c>
      <c r="D315" t="s">
        <v>1671</v>
      </c>
      <c r="E315" t="s">
        <v>21</v>
      </c>
      <c r="F315" t="s">
        <v>322</v>
      </c>
      <c r="G315" t="s">
        <v>72</v>
      </c>
      <c r="H315" t="s">
        <v>1672</v>
      </c>
      <c r="I315" t="s">
        <v>1673</v>
      </c>
      <c r="J315" t="s">
        <v>2454</v>
      </c>
      <c r="K315" t="s">
        <v>2454</v>
      </c>
      <c r="L315" t="s">
        <v>1674</v>
      </c>
      <c r="M315" t="s">
        <v>1674</v>
      </c>
      <c r="N315" t="b">
        <v>1</v>
      </c>
      <c r="O315" t="b">
        <v>1</v>
      </c>
      <c r="P315" t="b">
        <v>0</v>
      </c>
    </row>
    <row r="316" spans="1:16" x14ac:dyDescent="0.45">
      <c r="A316" t="s">
        <v>1790</v>
      </c>
      <c r="B316" t="b">
        <f>IF(A316="WDS", COUNTIF($D:$D, D316) &gt; 1, "")</f>
        <v>1</v>
      </c>
      <c r="C316" s="1">
        <v>101081155</v>
      </c>
      <c r="D316" t="s">
        <v>1675</v>
      </c>
      <c r="E316" t="s">
        <v>21</v>
      </c>
      <c r="F316" t="s">
        <v>1676</v>
      </c>
      <c r="G316" t="s">
        <v>23</v>
      </c>
      <c r="H316" t="s">
        <v>1677</v>
      </c>
      <c r="I316" t="s">
        <v>1678</v>
      </c>
      <c r="J316" t="s">
        <v>2455</v>
      </c>
      <c r="K316" t="s">
        <v>2455</v>
      </c>
      <c r="L316" t="s">
        <v>1679</v>
      </c>
      <c r="M316" t="s">
        <v>1679</v>
      </c>
      <c r="N316" t="b">
        <v>1</v>
      </c>
      <c r="O316" t="b">
        <v>1</v>
      </c>
      <c r="P316" t="b">
        <v>0</v>
      </c>
    </row>
    <row r="317" spans="1:16" x14ac:dyDescent="0.45">
      <c r="A317" t="s">
        <v>1790</v>
      </c>
      <c r="B317" t="b">
        <f>IF(A317="WDS", COUNTIF($D:$D, D317) &gt; 1, "")</f>
        <v>1</v>
      </c>
      <c r="C317" s="1">
        <v>101081154</v>
      </c>
      <c r="D317" t="s">
        <v>1675</v>
      </c>
      <c r="E317" t="s">
        <v>21</v>
      </c>
      <c r="F317" t="s">
        <v>1676</v>
      </c>
      <c r="G317" t="s">
        <v>23</v>
      </c>
      <c r="H317" t="s">
        <v>1677</v>
      </c>
      <c r="I317" t="s">
        <v>1678</v>
      </c>
      <c r="J317" t="s">
        <v>2455</v>
      </c>
      <c r="K317" t="s">
        <v>2455</v>
      </c>
      <c r="L317" t="s">
        <v>1679</v>
      </c>
      <c r="M317" t="s">
        <v>1679</v>
      </c>
      <c r="N317" t="b">
        <v>1</v>
      </c>
      <c r="O317" t="b">
        <v>1</v>
      </c>
      <c r="P317" t="b">
        <v>0</v>
      </c>
    </row>
    <row r="318" spans="1:16" x14ac:dyDescent="0.45">
      <c r="A318" t="s">
        <v>1790</v>
      </c>
      <c r="B318" t="b">
        <f>IF(A318="WDS", COUNTIF($D:$D, D318) &gt; 1, "")</f>
        <v>1</v>
      </c>
      <c r="C318" s="1">
        <v>101080946</v>
      </c>
      <c r="D318" t="s">
        <v>1680</v>
      </c>
      <c r="E318" t="s">
        <v>21</v>
      </c>
      <c r="F318" t="s">
        <v>1681</v>
      </c>
      <c r="G318" t="s">
        <v>1575</v>
      </c>
      <c r="H318" t="s">
        <v>1682</v>
      </c>
      <c r="I318" t="s">
        <v>1683</v>
      </c>
      <c r="J318" t="s">
        <v>2456</v>
      </c>
      <c r="K318" t="s">
        <v>2456</v>
      </c>
      <c r="L318" t="s">
        <v>1684</v>
      </c>
      <c r="M318" t="s">
        <v>1684</v>
      </c>
      <c r="N318" t="b">
        <v>1</v>
      </c>
      <c r="O318" t="b">
        <v>1</v>
      </c>
      <c r="P318" t="b">
        <v>0</v>
      </c>
    </row>
    <row r="319" spans="1:16" x14ac:dyDescent="0.45">
      <c r="A319" t="s">
        <v>1790</v>
      </c>
      <c r="B319" t="b">
        <f>IF(A319="WDS", COUNTIF($D:$D, D319) &gt; 1, "")</f>
        <v>0</v>
      </c>
      <c r="C319" s="1">
        <v>101078485</v>
      </c>
      <c r="D319" t="s">
        <v>1685</v>
      </c>
      <c r="E319" t="s">
        <v>21</v>
      </c>
      <c r="F319" t="s">
        <v>569</v>
      </c>
      <c r="G319" t="s">
        <v>570</v>
      </c>
      <c r="H319" t="s">
        <v>1686</v>
      </c>
      <c r="I319" t="s">
        <v>1687</v>
      </c>
      <c r="J319" t="s">
        <v>2457</v>
      </c>
      <c r="K319" t="s">
        <v>2457</v>
      </c>
      <c r="L319" t="s">
        <v>1688</v>
      </c>
      <c r="M319" t="s">
        <v>1688</v>
      </c>
      <c r="N319" t="b">
        <v>1</v>
      </c>
      <c r="O319" t="b">
        <v>1</v>
      </c>
      <c r="P319" t="b">
        <v>0</v>
      </c>
    </row>
    <row r="320" spans="1:16" x14ac:dyDescent="0.45">
      <c r="A320" t="s">
        <v>1790</v>
      </c>
      <c r="B320" t="b">
        <f>IF(A320="WDS", COUNTIF($D:$D, D320) &gt; 1, "")</f>
        <v>0</v>
      </c>
      <c r="C320" s="1">
        <v>101077807</v>
      </c>
      <c r="D320" t="s">
        <v>1689</v>
      </c>
      <c r="E320" t="s">
        <v>21</v>
      </c>
      <c r="F320" t="s">
        <v>1690</v>
      </c>
      <c r="G320" t="s">
        <v>251</v>
      </c>
      <c r="H320" t="s">
        <v>1691</v>
      </c>
      <c r="I320" t="s">
        <v>1692</v>
      </c>
      <c r="J320" t="s">
        <v>2458</v>
      </c>
      <c r="K320" t="s">
        <v>2458</v>
      </c>
      <c r="L320" t="s">
        <v>1693</v>
      </c>
      <c r="M320" t="s">
        <v>1693</v>
      </c>
      <c r="N320" t="b">
        <v>1</v>
      </c>
      <c r="O320" t="b">
        <v>1</v>
      </c>
      <c r="P320" t="b">
        <v>0</v>
      </c>
    </row>
    <row r="321" spans="1:16" x14ac:dyDescent="0.45">
      <c r="A321" t="s">
        <v>1790</v>
      </c>
      <c r="B321" t="b">
        <f>IF(A321="WDS", COUNTIF($D:$D, D321) &gt; 1, "")</f>
        <v>0</v>
      </c>
      <c r="C321" s="1">
        <v>101077703</v>
      </c>
      <c r="D321" t="s">
        <v>1694</v>
      </c>
      <c r="E321" t="s">
        <v>21</v>
      </c>
      <c r="F321" t="s">
        <v>322</v>
      </c>
      <c r="G321" t="s">
        <v>72</v>
      </c>
      <c r="H321" t="s">
        <v>1695</v>
      </c>
      <c r="I321" t="s">
        <v>1696</v>
      </c>
      <c r="J321" t="s">
        <v>2459</v>
      </c>
      <c r="K321" t="s">
        <v>2460</v>
      </c>
      <c r="L321" t="s">
        <v>1697</v>
      </c>
      <c r="M321" t="s">
        <v>1698</v>
      </c>
      <c r="N321" t="b">
        <v>1</v>
      </c>
      <c r="O321" t="b">
        <v>1</v>
      </c>
      <c r="P321" t="b">
        <v>0</v>
      </c>
    </row>
    <row r="322" spans="1:16" x14ac:dyDescent="0.45">
      <c r="A322" t="s">
        <v>1790</v>
      </c>
      <c r="B322" t="b">
        <f>IF(A322="WDS", COUNTIF($D:$D, D322) &gt; 1, "")</f>
        <v>1</v>
      </c>
      <c r="C322" s="1">
        <v>101077531</v>
      </c>
      <c r="D322" t="s">
        <v>1016</v>
      </c>
      <c r="E322" t="s">
        <v>21</v>
      </c>
      <c r="F322" t="s">
        <v>1017</v>
      </c>
      <c r="G322" t="s">
        <v>23</v>
      </c>
      <c r="H322" t="s">
        <v>1699</v>
      </c>
      <c r="I322" t="s">
        <v>1700</v>
      </c>
      <c r="J322" t="s">
        <v>2308</v>
      </c>
      <c r="K322" t="s">
        <v>2307</v>
      </c>
      <c r="L322" t="s">
        <v>1021</v>
      </c>
      <c r="M322" t="s">
        <v>1020</v>
      </c>
      <c r="N322" t="b">
        <v>1</v>
      </c>
      <c r="O322" t="b">
        <v>1</v>
      </c>
      <c r="P322" t="b">
        <v>0</v>
      </c>
    </row>
    <row r="323" spans="1:16" x14ac:dyDescent="0.45">
      <c r="A323" t="s">
        <v>1790</v>
      </c>
      <c r="B323" t="b">
        <f>IF(A323="WDS", COUNTIF($D:$D, D323) &gt; 1, "")</f>
        <v>0</v>
      </c>
      <c r="C323" s="1">
        <v>101077147</v>
      </c>
      <c r="D323" t="s">
        <v>1701</v>
      </c>
      <c r="E323" t="s">
        <v>21</v>
      </c>
      <c r="F323" t="s">
        <v>1702</v>
      </c>
      <c r="G323" t="s">
        <v>425</v>
      </c>
      <c r="H323" t="s">
        <v>1703</v>
      </c>
      <c r="I323" t="s">
        <v>1704</v>
      </c>
      <c r="J323" t="s">
        <v>2461</v>
      </c>
      <c r="K323" t="s">
        <v>2461</v>
      </c>
      <c r="L323" t="s">
        <v>1705</v>
      </c>
      <c r="M323" t="s">
        <v>1705</v>
      </c>
      <c r="N323" t="b">
        <v>1</v>
      </c>
      <c r="O323" t="b">
        <v>1</v>
      </c>
      <c r="P323" t="b">
        <v>0</v>
      </c>
    </row>
    <row r="324" spans="1:16" x14ac:dyDescent="0.45">
      <c r="A324" t="s">
        <v>1790</v>
      </c>
      <c r="B324" t="b">
        <f>IF(A324="WDS", COUNTIF($D:$D, D324) &gt; 1, "")</f>
        <v>0</v>
      </c>
      <c r="C324" s="1">
        <v>101062617</v>
      </c>
      <c r="D324" t="s">
        <v>1706</v>
      </c>
      <c r="E324" t="s">
        <v>21</v>
      </c>
      <c r="F324" t="s">
        <v>1707</v>
      </c>
      <c r="G324" t="s">
        <v>42</v>
      </c>
      <c r="H324" t="s">
        <v>1708</v>
      </c>
      <c r="I324" t="s">
        <v>1709</v>
      </c>
      <c r="J324" t="s">
        <v>2462</v>
      </c>
      <c r="K324" t="s">
        <v>2463</v>
      </c>
      <c r="L324" t="s">
        <v>1710</v>
      </c>
      <c r="M324" t="s">
        <v>1711</v>
      </c>
      <c r="N324" t="b">
        <v>1</v>
      </c>
      <c r="O324" t="b">
        <v>1</v>
      </c>
      <c r="P324" t="b">
        <v>0</v>
      </c>
    </row>
    <row r="325" spans="1:16" x14ac:dyDescent="0.45">
      <c r="A325" t="s">
        <v>1790</v>
      </c>
      <c r="B325" t="b">
        <f>IF(A325="WDS", COUNTIF($D:$D, D325) &gt; 1, "")</f>
        <v>0</v>
      </c>
      <c r="C325" s="1">
        <v>101062471</v>
      </c>
      <c r="D325" t="s">
        <v>1712</v>
      </c>
      <c r="E325" t="s">
        <v>21</v>
      </c>
      <c r="F325" t="s">
        <v>1355</v>
      </c>
      <c r="G325" t="s">
        <v>140</v>
      </c>
      <c r="H325" t="s">
        <v>1713</v>
      </c>
      <c r="I325" t="s">
        <v>1714</v>
      </c>
      <c r="J325" t="s">
        <v>2448</v>
      </c>
      <c r="K325" t="s">
        <v>2448</v>
      </c>
      <c r="L325" t="s">
        <v>1644</v>
      </c>
      <c r="M325" t="s">
        <v>1644</v>
      </c>
      <c r="N325" t="b">
        <v>1</v>
      </c>
      <c r="O325" t="b">
        <v>1</v>
      </c>
      <c r="P325" t="b">
        <v>0</v>
      </c>
    </row>
    <row r="326" spans="1:16" x14ac:dyDescent="0.45">
      <c r="A326" t="s">
        <v>1790</v>
      </c>
      <c r="B326" t="b">
        <f>IF(A326="WDS", COUNTIF($D:$D, D326) &gt; 1, "")</f>
        <v>0</v>
      </c>
      <c r="C326" s="1">
        <v>101048353</v>
      </c>
      <c r="D326" t="s">
        <v>1715</v>
      </c>
      <c r="E326" t="s">
        <v>21</v>
      </c>
      <c r="F326" t="s">
        <v>1716</v>
      </c>
      <c r="G326" t="s">
        <v>140</v>
      </c>
      <c r="H326" t="s">
        <v>1717</v>
      </c>
      <c r="I326" t="s">
        <v>1718</v>
      </c>
      <c r="J326" t="s">
        <v>2464</v>
      </c>
      <c r="K326" t="s">
        <v>2464</v>
      </c>
      <c r="L326" t="s">
        <v>1719</v>
      </c>
      <c r="M326" t="s">
        <v>1719</v>
      </c>
      <c r="N326" t="b">
        <v>1</v>
      </c>
      <c r="O326" t="b">
        <v>1</v>
      </c>
      <c r="P326" t="b">
        <v>0</v>
      </c>
    </row>
    <row r="327" spans="1:16" x14ac:dyDescent="0.45">
      <c r="A327" t="s">
        <v>1790</v>
      </c>
      <c r="B327" t="b">
        <f>IF(A327="WDS", COUNTIF($D:$D, D327) &gt; 1, "")</f>
        <v>1</v>
      </c>
      <c r="C327" s="1">
        <v>101047037</v>
      </c>
      <c r="D327" t="s">
        <v>1720</v>
      </c>
      <c r="E327" t="s">
        <v>21</v>
      </c>
      <c r="F327" t="s">
        <v>1721</v>
      </c>
      <c r="G327" t="s">
        <v>1722</v>
      </c>
      <c r="H327" t="s">
        <v>1723</v>
      </c>
      <c r="I327" t="s">
        <v>1724</v>
      </c>
      <c r="J327" t="s">
        <v>2465</v>
      </c>
      <c r="K327" t="s">
        <v>2465</v>
      </c>
      <c r="L327" t="s">
        <v>1725</v>
      </c>
      <c r="M327" t="s">
        <v>1725</v>
      </c>
      <c r="N327" t="b">
        <v>1</v>
      </c>
      <c r="O327" t="b">
        <v>1</v>
      </c>
      <c r="P327" t="b">
        <v>0</v>
      </c>
    </row>
    <row r="328" spans="1:16" x14ac:dyDescent="0.45">
      <c r="A328" t="s">
        <v>1790</v>
      </c>
      <c r="B328" t="b">
        <f>IF(A328="WDS", COUNTIF($D:$D, D328) &gt; 1, "")</f>
        <v>0</v>
      </c>
      <c r="C328" s="1">
        <v>101040415</v>
      </c>
      <c r="D328" t="s">
        <v>1726</v>
      </c>
      <c r="E328" t="s">
        <v>21</v>
      </c>
      <c r="F328" t="s">
        <v>1727</v>
      </c>
      <c r="G328" t="s">
        <v>1728</v>
      </c>
      <c r="H328" t="s">
        <v>1729</v>
      </c>
      <c r="I328" t="s">
        <v>1730</v>
      </c>
      <c r="J328" t="s">
        <v>2466</v>
      </c>
      <c r="K328" t="s">
        <v>2466</v>
      </c>
      <c r="L328" t="s">
        <v>1731</v>
      </c>
      <c r="M328" t="s">
        <v>1731</v>
      </c>
      <c r="N328" t="b">
        <v>1</v>
      </c>
      <c r="O328" t="b">
        <v>1</v>
      </c>
      <c r="P328" t="b">
        <v>0</v>
      </c>
    </row>
    <row r="329" spans="1:16" x14ac:dyDescent="0.45">
      <c r="A329" t="s">
        <v>1790</v>
      </c>
      <c r="B329" t="b">
        <f>IF(A329="WDS", COUNTIF($D:$D, D329) &gt; 1, "")</f>
        <v>0</v>
      </c>
      <c r="C329" s="1">
        <v>101040377</v>
      </c>
      <c r="D329" t="s">
        <v>1732</v>
      </c>
      <c r="E329" t="s">
        <v>21</v>
      </c>
      <c r="F329" t="s">
        <v>1733</v>
      </c>
      <c r="G329" t="s">
        <v>311</v>
      </c>
      <c r="H329" t="s">
        <v>1734</v>
      </c>
      <c r="I329" t="s">
        <v>1735</v>
      </c>
      <c r="J329" t="s">
        <v>2467</v>
      </c>
      <c r="K329" t="s">
        <v>2467</v>
      </c>
      <c r="L329" t="s">
        <v>1736</v>
      </c>
      <c r="M329" t="s">
        <v>1736</v>
      </c>
      <c r="N329" t="b">
        <v>1</v>
      </c>
      <c r="O329" t="b">
        <v>1</v>
      </c>
      <c r="P329" t="b">
        <v>0</v>
      </c>
    </row>
    <row r="330" spans="1:16" x14ac:dyDescent="0.45">
      <c r="A330" t="s">
        <v>1790</v>
      </c>
      <c r="B330" t="b">
        <f>IF(A330="WDS", COUNTIF($D:$D, D330) &gt; 1, "")</f>
        <v>1</v>
      </c>
      <c r="C330" s="1">
        <v>101039840</v>
      </c>
      <c r="D330" t="s">
        <v>1737</v>
      </c>
      <c r="E330" t="s">
        <v>21</v>
      </c>
      <c r="F330" t="s">
        <v>1337</v>
      </c>
      <c r="G330" t="s">
        <v>1338</v>
      </c>
      <c r="H330" t="s">
        <v>1738</v>
      </c>
      <c r="I330" t="s">
        <v>1739</v>
      </c>
      <c r="J330" t="s">
        <v>2374</v>
      </c>
      <c r="K330" t="s">
        <v>2374</v>
      </c>
      <c r="L330" t="s">
        <v>1341</v>
      </c>
      <c r="M330" t="s">
        <v>1341</v>
      </c>
      <c r="N330" t="b">
        <v>1</v>
      </c>
      <c r="O330" t="b">
        <v>1</v>
      </c>
      <c r="P330" t="b">
        <v>0</v>
      </c>
    </row>
    <row r="331" spans="1:16" x14ac:dyDescent="0.45">
      <c r="A331" t="s">
        <v>1790</v>
      </c>
      <c r="B331" t="b">
        <f>IF(A331="WDS", COUNTIF($D:$D, D331) &gt; 1, "")</f>
        <v>0</v>
      </c>
      <c r="C331" s="1">
        <v>101032388</v>
      </c>
      <c r="D331" t="s">
        <v>1740</v>
      </c>
      <c r="E331" t="s">
        <v>21</v>
      </c>
      <c r="F331" t="s">
        <v>1741</v>
      </c>
      <c r="G331" t="s">
        <v>524</v>
      </c>
      <c r="H331" t="s">
        <v>1742</v>
      </c>
      <c r="I331" t="s">
        <v>1743</v>
      </c>
      <c r="J331" t="s">
        <v>2468</v>
      </c>
      <c r="K331" t="s">
        <v>2468</v>
      </c>
      <c r="L331" t="s">
        <v>1744</v>
      </c>
      <c r="M331" t="s">
        <v>1744</v>
      </c>
      <c r="N331" t="b">
        <v>1</v>
      </c>
      <c r="O331" t="b">
        <v>1</v>
      </c>
      <c r="P331" t="b">
        <v>0</v>
      </c>
    </row>
    <row r="332" spans="1:16" x14ac:dyDescent="0.45">
      <c r="A332" t="s">
        <v>1790</v>
      </c>
      <c r="B332" t="b">
        <f>IF(A332="WDS", COUNTIF($D:$D, D332) &gt; 1, "")</f>
        <v>0</v>
      </c>
      <c r="C332" s="1">
        <v>101029536</v>
      </c>
      <c r="D332" t="s">
        <v>1745</v>
      </c>
      <c r="E332" t="s">
        <v>21</v>
      </c>
      <c r="F332" t="s">
        <v>1436</v>
      </c>
      <c r="G332" t="s">
        <v>129</v>
      </c>
      <c r="H332" t="s">
        <v>1746</v>
      </c>
      <c r="I332" t="s">
        <v>1747</v>
      </c>
      <c r="J332" t="s">
        <v>2469</v>
      </c>
      <c r="K332" t="s">
        <v>2469</v>
      </c>
      <c r="L332" t="s">
        <v>1748</v>
      </c>
      <c r="M332" t="s">
        <v>1748</v>
      </c>
      <c r="N332" t="b">
        <v>1</v>
      </c>
      <c r="O332" t="b">
        <v>1</v>
      </c>
      <c r="P332" t="b">
        <v>0</v>
      </c>
    </row>
    <row r="333" spans="1:16" x14ac:dyDescent="0.45">
      <c r="A333" t="s">
        <v>1790</v>
      </c>
      <c r="B333" t="b">
        <f>IF(A333="WDS", COUNTIF($D:$D, D333) &gt; 1, "")</f>
        <v>0</v>
      </c>
      <c r="C333" s="1">
        <v>101029467</v>
      </c>
      <c r="D333" t="s">
        <v>1749</v>
      </c>
      <c r="E333" t="s">
        <v>21</v>
      </c>
      <c r="F333" t="s">
        <v>1750</v>
      </c>
      <c r="G333" t="s">
        <v>345</v>
      </c>
      <c r="H333" t="s">
        <v>1751</v>
      </c>
      <c r="I333" t="s">
        <v>1752</v>
      </c>
      <c r="J333" t="s">
        <v>2469</v>
      </c>
      <c r="K333" t="s">
        <v>2469</v>
      </c>
      <c r="L333" t="s">
        <v>1748</v>
      </c>
      <c r="M333" t="s">
        <v>1748</v>
      </c>
      <c r="N333" t="b">
        <v>1</v>
      </c>
      <c r="O333" t="b">
        <v>1</v>
      </c>
      <c r="P333" t="b">
        <v>0</v>
      </c>
    </row>
    <row r="334" spans="1:16" x14ac:dyDescent="0.45">
      <c r="A334" t="s">
        <v>1790</v>
      </c>
      <c r="B334" t="b">
        <f>IF(A334="WDS", COUNTIF($D:$D, D334) &gt; 1, "")</f>
        <v>0</v>
      </c>
      <c r="C334" s="1">
        <v>101029415</v>
      </c>
      <c r="D334" t="s">
        <v>1753</v>
      </c>
      <c r="E334" t="s">
        <v>21</v>
      </c>
      <c r="F334" t="s">
        <v>1754</v>
      </c>
      <c r="G334" t="s">
        <v>1007</v>
      </c>
      <c r="H334" t="s">
        <v>1755</v>
      </c>
      <c r="I334" t="s">
        <v>1756</v>
      </c>
      <c r="J334" t="s">
        <v>2469</v>
      </c>
      <c r="K334" t="s">
        <v>2469</v>
      </c>
      <c r="L334" t="s">
        <v>1748</v>
      </c>
      <c r="M334" t="s">
        <v>1748</v>
      </c>
      <c r="N334" t="b">
        <v>1</v>
      </c>
      <c r="O334" t="b">
        <v>1</v>
      </c>
      <c r="P334" t="b">
        <v>0</v>
      </c>
    </row>
    <row r="335" spans="1:16" x14ac:dyDescent="0.45">
      <c r="A335" t="s">
        <v>1790</v>
      </c>
      <c r="B335" t="b">
        <f>IF(A335="WDS", COUNTIF($D:$D, D335) &gt; 1, "")</f>
        <v>0</v>
      </c>
      <c r="C335" s="1">
        <v>101029176</v>
      </c>
      <c r="D335" t="s">
        <v>1757</v>
      </c>
      <c r="E335" t="s">
        <v>21</v>
      </c>
      <c r="F335" t="s">
        <v>1758</v>
      </c>
      <c r="G335" t="s">
        <v>501</v>
      </c>
      <c r="H335" t="s">
        <v>1759</v>
      </c>
      <c r="I335" t="s">
        <v>1760</v>
      </c>
      <c r="J335" t="s">
        <v>2469</v>
      </c>
      <c r="K335" t="s">
        <v>2469</v>
      </c>
      <c r="L335" t="s">
        <v>1748</v>
      </c>
      <c r="M335" t="s">
        <v>1748</v>
      </c>
      <c r="N335" t="b">
        <v>1</v>
      </c>
      <c r="O335" t="b">
        <v>1</v>
      </c>
      <c r="P335" t="b">
        <v>0</v>
      </c>
    </row>
    <row r="336" spans="1:16" x14ac:dyDescent="0.45">
      <c r="A336" t="s">
        <v>1790</v>
      </c>
      <c r="B336" t="b">
        <f>IF(A336="WDS", COUNTIF($D:$D, D336) &gt; 1, "")</f>
        <v>0</v>
      </c>
      <c r="C336" s="1">
        <v>101028883</v>
      </c>
      <c r="D336" t="s">
        <v>1761</v>
      </c>
      <c r="E336" t="s">
        <v>21</v>
      </c>
      <c r="F336" t="s">
        <v>1762</v>
      </c>
      <c r="G336" t="s">
        <v>97</v>
      </c>
      <c r="H336" t="s">
        <v>1763</v>
      </c>
      <c r="I336" t="s">
        <v>1764</v>
      </c>
      <c r="J336" t="s">
        <v>2470</v>
      </c>
      <c r="K336" t="s">
        <v>2470</v>
      </c>
      <c r="L336" t="s">
        <v>1765</v>
      </c>
      <c r="M336" t="s">
        <v>1765</v>
      </c>
      <c r="N336" t="b">
        <v>1</v>
      </c>
      <c r="O336" t="b">
        <v>1</v>
      </c>
      <c r="P336" t="b">
        <v>0</v>
      </c>
    </row>
    <row r="337" spans="1:16" x14ac:dyDescent="0.45">
      <c r="A337" t="s">
        <v>1790</v>
      </c>
      <c r="B337" t="b">
        <f>IF(A337="WDS", COUNTIF($D:$D, D337) &gt; 1, "")</f>
        <v>0</v>
      </c>
      <c r="C337" s="1">
        <v>101028779</v>
      </c>
      <c r="D337" t="s">
        <v>1766</v>
      </c>
      <c r="E337" t="s">
        <v>21</v>
      </c>
      <c r="F337" t="s">
        <v>1767</v>
      </c>
      <c r="G337" t="s">
        <v>1722</v>
      </c>
      <c r="H337" t="s">
        <v>1768</v>
      </c>
      <c r="I337" t="s">
        <v>1769</v>
      </c>
      <c r="J337" t="s">
        <v>2471</v>
      </c>
      <c r="K337" t="s">
        <v>2472</v>
      </c>
      <c r="L337" t="s">
        <v>1770</v>
      </c>
      <c r="M337" t="s">
        <v>1771</v>
      </c>
      <c r="N337" t="b">
        <v>1</v>
      </c>
      <c r="O337" t="b">
        <v>1</v>
      </c>
      <c r="P337" t="b">
        <v>0</v>
      </c>
    </row>
    <row r="338" spans="1:16" x14ac:dyDescent="0.45">
      <c r="A338" t="s">
        <v>1790</v>
      </c>
      <c r="B338" t="b">
        <f>IF(A338="WDS", COUNTIF($D:$D, D338) &gt; 1, "")</f>
        <v>0</v>
      </c>
      <c r="C338" s="1">
        <v>101028637</v>
      </c>
      <c r="D338" t="s">
        <v>1772</v>
      </c>
      <c r="E338" t="s">
        <v>21</v>
      </c>
      <c r="F338" t="s">
        <v>1773</v>
      </c>
      <c r="G338" t="s">
        <v>306</v>
      </c>
      <c r="H338" t="s">
        <v>1774</v>
      </c>
      <c r="I338" t="s">
        <v>1775</v>
      </c>
      <c r="J338" t="s">
        <v>2473</v>
      </c>
      <c r="K338" t="s">
        <v>2474</v>
      </c>
      <c r="L338" t="s">
        <v>1776</v>
      </c>
      <c r="M338" t="s">
        <v>1777</v>
      </c>
      <c r="N338" t="b">
        <v>1</v>
      </c>
      <c r="O338" t="b">
        <v>1</v>
      </c>
      <c r="P338" t="b">
        <v>0</v>
      </c>
    </row>
    <row r="339" spans="1:16" x14ac:dyDescent="0.45">
      <c r="A339" t="s">
        <v>1790</v>
      </c>
      <c r="B339" t="b">
        <f>IF(A339="WDS", COUNTIF($D:$D, D339) &gt; 1, "")</f>
        <v>0</v>
      </c>
      <c r="C339" s="1">
        <v>101023870</v>
      </c>
      <c r="D339" t="s">
        <v>1778</v>
      </c>
      <c r="E339" t="s">
        <v>21</v>
      </c>
      <c r="F339" t="s">
        <v>1779</v>
      </c>
      <c r="G339" t="s">
        <v>1388</v>
      </c>
      <c r="H339" t="s">
        <v>1780</v>
      </c>
      <c r="I339" t="s">
        <v>1781</v>
      </c>
      <c r="J339" t="s">
        <v>2475</v>
      </c>
      <c r="K339" t="s">
        <v>2475</v>
      </c>
      <c r="L339" t="s">
        <v>1782</v>
      </c>
      <c r="M339" t="s">
        <v>1782</v>
      </c>
      <c r="N339" t="b">
        <v>1</v>
      </c>
      <c r="O339" t="b">
        <v>1</v>
      </c>
      <c r="P339" t="b">
        <v>0</v>
      </c>
    </row>
    <row r="340" spans="1:16" x14ac:dyDescent="0.45">
      <c r="A340" t="s">
        <v>1790</v>
      </c>
      <c r="B340" t="b">
        <f>IF(A340="WDS", COUNTIF($D:$D, D340) &gt; 1, "")</f>
        <v>0</v>
      </c>
      <c r="C340" s="1">
        <v>100992144</v>
      </c>
      <c r="D340" t="s">
        <v>1783</v>
      </c>
      <c r="E340" t="s">
        <v>21</v>
      </c>
      <c r="F340" t="s">
        <v>1784</v>
      </c>
      <c r="G340" t="s">
        <v>42</v>
      </c>
      <c r="H340" t="s">
        <v>1785</v>
      </c>
      <c r="I340" t="s">
        <v>1786</v>
      </c>
      <c r="J340" t="s">
        <v>2112</v>
      </c>
      <c r="K340" t="s">
        <v>2476</v>
      </c>
      <c r="L340" t="s">
        <v>18</v>
      </c>
      <c r="M340" t="s">
        <v>1787</v>
      </c>
      <c r="N340" t="b">
        <v>1</v>
      </c>
      <c r="O340" t="b">
        <v>1</v>
      </c>
      <c r="P340" t="b">
        <v>0</v>
      </c>
    </row>
    <row r="341" spans="1:16" x14ac:dyDescent="0.45">
      <c r="A341" t="s">
        <v>1790</v>
      </c>
      <c r="B341" t="b">
        <f>IF(A341="WDS", COUNTIF($D:$D, D341) &gt; 1, "")</f>
        <v>1</v>
      </c>
      <c r="C341" s="1">
        <v>1091792</v>
      </c>
      <c r="D341" t="s">
        <v>12</v>
      </c>
      <c r="E341" t="s">
        <v>21</v>
      </c>
      <c r="F341" t="s">
        <v>14</v>
      </c>
      <c r="G341" t="s">
        <v>15</v>
      </c>
      <c r="H341" t="s">
        <v>16</v>
      </c>
      <c r="I341" t="s">
        <v>17</v>
      </c>
      <c r="J341" t="s">
        <v>2477</v>
      </c>
      <c r="K341" t="s">
        <v>2112</v>
      </c>
      <c r="L341" t="s">
        <v>1788</v>
      </c>
      <c r="M341" t="s">
        <v>18</v>
      </c>
      <c r="N341" t="b">
        <v>1</v>
      </c>
      <c r="O341" t="b">
        <v>1</v>
      </c>
      <c r="P341" t="b">
        <v>0</v>
      </c>
    </row>
    <row r="342" spans="1:16" x14ac:dyDescent="0.45">
      <c r="A342" t="s">
        <v>2109</v>
      </c>
      <c r="B342" t="str">
        <f>IF(COUNTIF($D2:$D341, D342) &gt; 1, "")</f>
        <v/>
      </c>
      <c r="C342" s="2">
        <v>104277381</v>
      </c>
      <c r="D342" t="s">
        <v>12</v>
      </c>
      <c r="E342" t="s">
        <v>13</v>
      </c>
      <c r="F342" t="s">
        <v>14</v>
      </c>
      <c r="G342" t="s">
        <v>15</v>
      </c>
      <c r="H342" t="s">
        <v>16</v>
      </c>
      <c r="I342" t="s">
        <v>17</v>
      </c>
      <c r="J342" t="s">
        <v>2112</v>
      </c>
      <c r="K342" t="s">
        <v>2112</v>
      </c>
      <c r="L342" t="s">
        <v>18</v>
      </c>
      <c r="M342" t="s">
        <v>18</v>
      </c>
      <c r="N342" t="b">
        <v>1</v>
      </c>
      <c r="O342" t="b">
        <v>1</v>
      </c>
      <c r="P342" t="b">
        <v>0</v>
      </c>
    </row>
    <row r="343" spans="1:16" x14ac:dyDescent="0.45">
      <c r="A343" t="s">
        <v>2109</v>
      </c>
      <c r="B343" t="str">
        <f t="shared" ref="B343:B353" si="0">IF(COUNTIF($D3:$D342, D343) &gt; 1, "")</f>
        <v/>
      </c>
      <c r="C343" s="2">
        <v>102082475</v>
      </c>
      <c r="D343" t="s">
        <v>12</v>
      </c>
      <c r="E343" t="s">
        <v>19</v>
      </c>
      <c r="F343" t="s">
        <v>14</v>
      </c>
      <c r="G343" t="s">
        <v>15</v>
      </c>
      <c r="H343" t="s">
        <v>16</v>
      </c>
      <c r="I343" t="s">
        <v>17</v>
      </c>
      <c r="J343" t="s">
        <v>2112</v>
      </c>
      <c r="K343" t="s">
        <v>2112</v>
      </c>
      <c r="L343" t="s">
        <v>18</v>
      </c>
      <c r="M343" t="s">
        <v>18</v>
      </c>
      <c r="N343" t="b">
        <v>1</v>
      </c>
      <c r="O343" t="b">
        <v>1</v>
      </c>
      <c r="P343" t="b">
        <v>0</v>
      </c>
    </row>
    <row r="344" spans="1:16" x14ac:dyDescent="0.45">
      <c r="A344" t="s">
        <v>2109</v>
      </c>
      <c r="B344" t="b">
        <f t="shared" si="0"/>
        <v>0</v>
      </c>
      <c r="C344" s="2">
        <v>200011710</v>
      </c>
      <c r="D344" t="s">
        <v>2110</v>
      </c>
      <c r="E344" t="s">
        <v>21</v>
      </c>
      <c r="F344" t="s">
        <v>174</v>
      </c>
      <c r="G344" t="s">
        <v>175</v>
      </c>
      <c r="H344" t="s">
        <v>2111</v>
      </c>
      <c r="I344" t="s">
        <v>1791</v>
      </c>
      <c r="J344">
        <v>1092596410</v>
      </c>
      <c r="K344" t="s">
        <v>2478</v>
      </c>
      <c r="L344" t="s">
        <v>1792</v>
      </c>
      <c r="M344" t="s">
        <v>1792</v>
      </c>
      <c r="N344" t="b">
        <v>1</v>
      </c>
      <c r="O344" t="b">
        <v>1</v>
      </c>
      <c r="P344" t="b">
        <v>0</v>
      </c>
    </row>
    <row r="345" spans="1:16" x14ac:dyDescent="0.45">
      <c r="A345" t="s">
        <v>2109</v>
      </c>
      <c r="B345" t="b">
        <f t="shared" si="0"/>
        <v>0</v>
      </c>
      <c r="C345" s="2">
        <v>107669233</v>
      </c>
      <c r="D345" t="s">
        <v>34</v>
      </c>
      <c r="E345" t="s">
        <v>21</v>
      </c>
      <c r="F345" t="s">
        <v>35</v>
      </c>
      <c r="G345" t="s">
        <v>36</v>
      </c>
      <c r="H345" t="s">
        <v>37</v>
      </c>
      <c r="I345" t="s">
        <v>38</v>
      </c>
      <c r="J345" t="s">
        <v>2116</v>
      </c>
      <c r="K345" t="s">
        <v>2116</v>
      </c>
      <c r="L345" t="s">
        <v>39</v>
      </c>
      <c r="M345" t="s">
        <v>39</v>
      </c>
      <c r="N345" t="b">
        <v>1</v>
      </c>
      <c r="O345" t="b">
        <v>1</v>
      </c>
      <c r="P345" t="b">
        <v>0</v>
      </c>
    </row>
    <row r="346" spans="1:16" x14ac:dyDescent="0.45">
      <c r="A346" t="s">
        <v>2109</v>
      </c>
      <c r="B346" t="b">
        <f t="shared" si="0"/>
        <v>0</v>
      </c>
      <c r="C346" s="2">
        <v>106924505</v>
      </c>
      <c r="D346" t="s">
        <v>1793</v>
      </c>
      <c r="E346" t="s">
        <v>21</v>
      </c>
      <c r="F346" t="s">
        <v>1794</v>
      </c>
      <c r="G346" t="s">
        <v>140</v>
      </c>
      <c r="H346" t="s">
        <v>1795</v>
      </c>
      <c r="I346" t="s">
        <v>1796</v>
      </c>
      <c r="J346" t="s">
        <v>2479</v>
      </c>
      <c r="K346" t="s">
        <v>2112</v>
      </c>
      <c r="L346" t="s">
        <v>1797</v>
      </c>
      <c r="M346" t="s">
        <v>18</v>
      </c>
      <c r="N346" t="b">
        <v>1</v>
      </c>
      <c r="O346" t="b">
        <v>1</v>
      </c>
      <c r="P346" t="b">
        <v>0</v>
      </c>
    </row>
    <row r="347" spans="1:16" x14ac:dyDescent="0.45">
      <c r="A347" t="s">
        <v>2109</v>
      </c>
      <c r="B347" t="b">
        <f t="shared" si="0"/>
        <v>0</v>
      </c>
      <c r="C347" s="2">
        <v>106848981</v>
      </c>
      <c r="D347" t="s">
        <v>1798</v>
      </c>
      <c r="E347" t="s">
        <v>21</v>
      </c>
      <c r="F347" t="s">
        <v>1799</v>
      </c>
      <c r="G347" t="s">
        <v>251</v>
      </c>
      <c r="H347" t="s">
        <v>1800</v>
      </c>
      <c r="I347" t="s">
        <v>1801</v>
      </c>
      <c r="J347" t="s">
        <v>2112</v>
      </c>
      <c r="K347" t="s">
        <v>2480</v>
      </c>
      <c r="L347" t="s">
        <v>18</v>
      </c>
      <c r="M347" t="s">
        <v>1802</v>
      </c>
      <c r="N347" t="b">
        <v>1</v>
      </c>
      <c r="O347" t="b">
        <v>1</v>
      </c>
      <c r="P347" t="b">
        <v>0</v>
      </c>
    </row>
    <row r="348" spans="1:16" x14ac:dyDescent="0.45">
      <c r="A348" t="s">
        <v>2109</v>
      </c>
      <c r="B348" t="b">
        <f t="shared" si="0"/>
        <v>0</v>
      </c>
      <c r="C348" s="2">
        <v>106815048</v>
      </c>
      <c r="D348" t="s">
        <v>1803</v>
      </c>
      <c r="E348" t="s">
        <v>21</v>
      </c>
      <c r="F348" t="s">
        <v>1804</v>
      </c>
      <c r="G348" t="s">
        <v>1007</v>
      </c>
      <c r="H348" t="s">
        <v>1805</v>
      </c>
      <c r="I348" t="s">
        <v>1806</v>
      </c>
      <c r="J348" t="s">
        <v>2481</v>
      </c>
      <c r="K348" t="s">
        <v>2481</v>
      </c>
      <c r="L348" t="s">
        <v>1807</v>
      </c>
      <c r="M348" t="s">
        <v>1807</v>
      </c>
      <c r="N348" t="b">
        <v>1</v>
      </c>
      <c r="O348" t="b">
        <v>1</v>
      </c>
      <c r="P348" t="b">
        <v>0</v>
      </c>
    </row>
    <row r="349" spans="1:16" x14ac:dyDescent="0.45">
      <c r="A349" t="s">
        <v>2109</v>
      </c>
      <c r="B349" t="b">
        <f t="shared" si="0"/>
        <v>0</v>
      </c>
      <c r="C349" s="2">
        <v>106587909</v>
      </c>
      <c r="D349" t="s">
        <v>1808</v>
      </c>
      <c r="E349" t="s">
        <v>21</v>
      </c>
      <c r="F349" t="s">
        <v>1809</v>
      </c>
      <c r="G349" t="s">
        <v>692</v>
      </c>
      <c r="H349" t="s">
        <v>1810</v>
      </c>
      <c r="I349" t="s">
        <v>1811</v>
      </c>
      <c r="J349" t="s">
        <v>2112</v>
      </c>
      <c r="K349" t="s">
        <v>2112</v>
      </c>
      <c r="L349" t="s">
        <v>18</v>
      </c>
      <c r="M349" t="s">
        <v>18</v>
      </c>
      <c r="N349" t="b">
        <v>1</v>
      </c>
      <c r="O349" t="b">
        <v>1</v>
      </c>
      <c r="P349" t="b">
        <v>0</v>
      </c>
    </row>
    <row r="350" spans="1:16" x14ac:dyDescent="0.45">
      <c r="A350" t="s">
        <v>2109</v>
      </c>
      <c r="B350" t="b">
        <f t="shared" si="0"/>
        <v>0</v>
      </c>
      <c r="C350" s="2">
        <v>106398206</v>
      </c>
      <c r="D350" t="s">
        <v>1812</v>
      </c>
      <c r="E350" t="s">
        <v>21</v>
      </c>
      <c r="F350" t="s">
        <v>1813</v>
      </c>
      <c r="G350" t="s">
        <v>419</v>
      </c>
      <c r="H350" t="s">
        <v>1814</v>
      </c>
      <c r="I350" t="s">
        <v>1815</v>
      </c>
      <c r="J350" t="s">
        <v>2482</v>
      </c>
      <c r="K350" t="s">
        <v>2112</v>
      </c>
      <c r="L350" t="s">
        <v>1816</v>
      </c>
      <c r="M350" t="s">
        <v>18</v>
      </c>
      <c r="N350" t="b">
        <v>1</v>
      </c>
      <c r="O350" t="b">
        <v>1</v>
      </c>
      <c r="P350" t="b">
        <v>0</v>
      </c>
    </row>
    <row r="351" spans="1:16" x14ac:dyDescent="0.45">
      <c r="A351" t="s">
        <v>2109</v>
      </c>
      <c r="B351" t="b">
        <f t="shared" si="0"/>
        <v>0</v>
      </c>
      <c r="C351" s="2">
        <v>106371051</v>
      </c>
      <c r="D351" t="s">
        <v>1817</v>
      </c>
      <c r="E351" t="s">
        <v>21</v>
      </c>
      <c r="F351" t="s">
        <v>1818</v>
      </c>
      <c r="G351" t="s">
        <v>507</v>
      </c>
      <c r="H351" t="s">
        <v>1819</v>
      </c>
      <c r="I351" t="s">
        <v>1820</v>
      </c>
      <c r="J351" t="s">
        <v>2483</v>
      </c>
      <c r="K351" t="s">
        <v>2112</v>
      </c>
      <c r="L351" t="s">
        <v>1821</v>
      </c>
      <c r="M351" t="s">
        <v>18</v>
      </c>
      <c r="N351" t="b">
        <v>1</v>
      </c>
      <c r="O351" t="b">
        <v>1</v>
      </c>
      <c r="P351" t="b">
        <v>0</v>
      </c>
    </row>
    <row r="352" spans="1:16" x14ac:dyDescent="0.45">
      <c r="A352" t="s">
        <v>2109</v>
      </c>
      <c r="B352" t="b">
        <f t="shared" si="0"/>
        <v>0</v>
      </c>
      <c r="C352" s="2">
        <v>106264845</v>
      </c>
      <c r="D352" t="s">
        <v>193</v>
      </c>
      <c r="E352" t="s">
        <v>21</v>
      </c>
      <c r="F352" t="s">
        <v>194</v>
      </c>
      <c r="G352" t="s">
        <v>195</v>
      </c>
      <c r="H352" t="s">
        <v>1822</v>
      </c>
      <c r="I352" t="s">
        <v>1823</v>
      </c>
      <c r="J352" t="s">
        <v>2484</v>
      </c>
      <c r="K352" t="s">
        <v>2112</v>
      </c>
      <c r="L352" t="s">
        <v>1824</v>
      </c>
      <c r="M352" t="s">
        <v>18</v>
      </c>
      <c r="N352" t="b">
        <v>1</v>
      </c>
      <c r="O352" t="b">
        <v>1</v>
      </c>
      <c r="P352" t="b">
        <v>0</v>
      </c>
    </row>
    <row r="353" spans="1:16" x14ac:dyDescent="0.45">
      <c r="A353" t="s">
        <v>2109</v>
      </c>
      <c r="B353" t="b">
        <f t="shared" si="0"/>
        <v>0</v>
      </c>
      <c r="C353" s="2">
        <v>106182579</v>
      </c>
      <c r="D353" t="s">
        <v>1825</v>
      </c>
      <c r="E353" t="s">
        <v>21</v>
      </c>
      <c r="F353" t="s">
        <v>1023</v>
      </c>
      <c r="G353" t="s">
        <v>15</v>
      </c>
      <c r="H353" t="s">
        <v>1826</v>
      </c>
      <c r="I353" t="s">
        <v>1827</v>
      </c>
      <c r="J353" t="s">
        <v>2485</v>
      </c>
      <c r="K353" t="s">
        <v>2112</v>
      </c>
      <c r="L353" t="s">
        <v>1828</v>
      </c>
      <c r="M353" t="s">
        <v>18</v>
      </c>
      <c r="N353" t="b">
        <v>1</v>
      </c>
      <c r="O353" t="b">
        <v>1</v>
      </c>
      <c r="P353" t="b">
        <v>0</v>
      </c>
    </row>
    <row r="354" spans="1:16" x14ac:dyDescent="0.45">
      <c r="A354" t="s">
        <v>2109</v>
      </c>
      <c r="B354" t="b">
        <f>IF(COUNTIF($D15:$D353, D354) &gt; 1, "")</f>
        <v>0</v>
      </c>
      <c r="C354" s="2">
        <v>106023280</v>
      </c>
      <c r="D354" t="s">
        <v>1829</v>
      </c>
      <c r="E354" t="s">
        <v>21</v>
      </c>
      <c r="F354" t="s">
        <v>1830</v>
      </c>
      <c r="G354" t="s">
        <v>419</v>
      </c>
      <c r="H354" t="s">
        <v>1831</v>
      </c>
      <c r="I354" t="s">
        <v>1832</v>
      </c>
      <c r="J354" t="s">
        <v>2486</v>
      </c>
      <c r="K354" t="s">
        <v>2112</v>
      </c>
      <c r="L354" t="s">
        <v>1833</v>
      </c>
      <c r="M354" t="s">
        <v>18</v>
      </c>
      <c r="N354" t="b">
        <v>1</v>
      </c>
      <c r="O354" t="b">
        <v>1</v>
      </c>
      <c r="P354" t="b">
        <v>0</v>
      </c>
    </row>
    <row r="355" spans="1:16" x14ac:dyDescent="0.45">
      <c r="A355" t="s">
        <v>2109</v>
      </c>
      <c r="B355" t="b">
        <f>IF(COUNTIF($D16:$D354, D355) &gt; 1, "")</f>
        <v>0</v>
      </c>
      <c r="C355" s="2">
        <v>105872032</v>
      </c>
      <c r="D355" t="s">
        <v>1834</v>
      </c>
      <c r="E355" t="s">
        <v>21</v>
      </c>
      <c r="F355" t="s">
        <v>1835</v>
      </c>
      <c r="G355" t="s">
        <v>72</v>
      </c>
      <c r="H355" t="s">
        <v>1836</v>
      </c>
      <c r="I355" t="s">
        <v>1837</v>
      </c>
      <c r="J355" t="s">
        <v>2487</v>
      </c>
      <c r="K355" t="s">
        <v>2112</v>
      </c>
      <c r="L355" t="s">
        <v>1838</v>
      </c>
      <c r="M355" t="s">
        <v>18</v>
      </c>
      <c r="N355" t="b">
        <v>1</v>
      </c>
      <c r="O355" t="b">
        <v>1</v>
      </c>
      <c r="P355" t="b">
        <v>0</v>
      </c>
    </row>
    <row r="356" spans="1:16" x14ac:dyDescent="0.45">
      <c r="A356" t="s">
        <v>2109</v>
      </c>
      <c r="B356" t="b">
        <f>IF(COUNTIF($D17:$D355, D356) &gt; 1, "")</f>
        <v>0</v>
      </c>
      <c r="C356" s="2">
        <v>105753163</v>
      </c>
      <c r="D356" t="s">
        <v>1839</v>
      </c>
      <c r="E356" t="s">
        <v>21</v>
      </c>
      <c r="F356" t="s">
        <v>1840</v>
      </c>
      <c r="G356" t="s">
        <v>228</v>
      </c>
      <c r="H356" t="s">
        <v>1841</v>
      </c>
      <c r="I356" t="s">
        <v>1842</v>
      </c>
      <c r="J356" t="s">
        <v>2488</v>
      </c>
      <c r="K356" t="s">
        <v>2488</v>
      </c>
      <c r="L356" t="s">
        <v>1843</v>
      </c>
      <c r="M356" t="s">
        <v>1843</v>
      </c>
      <c r="N356" t="b">
        <v>1</v>
      </c>
      <c r="O356" t="b">
        <v>1</v>
      </c>
      <c r="P356" t="b">
        <v>0</v>
      </c>
    </row>
    <row r="357" spans="1:16" x14ac:dyDescent="0.45">
      <c r="A357" t="s">
        <v>2109</v>
      </c>
      <c r="B357" t="b">
        <f>IF(COUNTIF($D18:$D356, D357) &gt; 1, "")</f>
        <v>0</v>
      </c>
      <c r="C357" s="2">
        <v>105679710</v>
      </c>
      <c r="D357" t="s">
        <v>1844</v>
      </c>
      <c r="E357" t="s">
        <v>21</v>
      </c>
      <c r="F357" t="s">
        <v>1845</v>
      </c>
      <c r="G357" t="s">
        <v>219</v>
      </c>
      <c r="H357" t="s">
        <v>1846</v>
      </c>
      <c r="I357" t="s">
        <v>1847</v>
      </c>
      <c r="J357" t="s">
        <v>2489</v>
      </c>
      <c r="K357" t="s">
        <v>2112</v>
      </c>
      <c r="L357" t="s">
        <v>1848</v>
      </c>
      <c r="M357" t="s">
        <v>18</v>
      </c>
      <c r="N357" t="b">
        <v>1</v>
      </c>
      <c r="O357" t="b">
        <v>1</v>
      </c>
      <c r="P357" t="b">
        <v>0</v>
      </c>
    </row>
    <row r="358" spans="1:16" x14ac:dyDescent="0.45">
      <c r="A358" t="s">
        <v>2109</v>
      </c>
      <c r="B358" t="b">
        <f>IF(COUNTIF($D19:$D357, D358) &gt; 1, "")</f>
        <v>0</v>
      </c>
      <c r="C358" s="2">
        <v>105633068</v>
      </c>
      <c r="D358" t="s">
        <v>1849</v>
      </c>
      <c r="E358" t="s">
        <v>21</v>
      </c>
      <c r="F358" t="s">
        <v>294</v>
      </c>
      <c r="G358" t="s">
        <v>42</v>
      </c>
      <c r="H358" t="s">
        <v>295</v>
      </c>
      <c r="I358" t="s">
        <v>296</v>
      </c>
      <c r="J358">
        <v>7088550522</v>
      </c>
      <c r="K358" t="s">
        <v>2112</v>
      </c>
      <c r="L358" t="s">
        <v>1850</v>
      </c>
      <c r="M358" t="s">
        <v>18</v>
      </c>
      <c r="N358" t="b">
        <v>1</v>
      </c>
      <c r="O358" t="b">
        <v>1</v>
      </c>
      <c r="P358" t="b">
        <v>0</v>
      </c>
    </row>
    <row r="359" spans="1:16" x14ac:dyDescent="0.45">
      <c r="A359" t="s">
        <v>2109</v>
      </c>
      <c r="B359" t="b">
        <f>IF(COUNTIF($D20:$D358, D359) &gt; 1, "")</f>
        <v>0</v>
      </c>
      <c r="C359" s="2">
        <v>105628724</v>
      </c>
      <c r="D359" t="s">
        <v>1851</v>
      </c>
      <c r="E359" t="s">
        <v>21</v>
      </c>
      <c r="F359" t="s">
        <v>288</v>
      </c>
      <c r="G359" t="s">
        <v>289</v>
      </c>
      <c r="H359" t="s">
        <v>290</v>
      </c>
      <c r="I359" t="s">
        <v>291</v>
      </c>
      <c r="J359" t="s">
        <v>2112</v>
      </c>
      <c r="K359" t="s">
        <v>2112</v>
      </c>
      <c r="L359" t="s">
        <v>18</v>
      </c>
      <c r="M359" t="s">
        <v>18</v>
      </c>
      <c r="N359" t="b">
        <v>1</v>
      </c>
      <c r="O359" t="b">
        <v>1</v>
      </c>
      <c r="P359" t="b">
        <v>0</v>
      </c>
    </row>
    <row r="360" spans="1:16" x14ac:dyDescent="0.45">
      <c r="A360" t="s">
        <v>2109</v>
      </c>
      <c r="B360" t="b">
        <f>IF(COUNTIF($D21:$D359, D360) &gt; 1, "")</f>
        <v>0</v>
      </c>
      <c r="C360" s="2">
        <v>105245118</v>
      </c>
      <c r="D360" t="s">
        <v>1852</v>
      </c>
      <c r="E360" t="s">
        <v>21</v>
      </c>
      <c r="F360" t="s">
        <v>1853</v>
      </c>
      <c r="G360" t="s">
        <v>712</v>
      </c>
      <c r="H360" t="s">
        <v>1854</v>
      </c>
      <c r="I360" t="s">
        <v>1855</v>
      </c>
      <c r="J360" t="s">
        <v>2490</v>
      </c>
      <c r="K360" t="s">
        <v>2112</v>
      </c>
      <c r="L360" t="s">
        <v>1856</v>
      </c>
      <c r="M360" t="s">
        <v>18</v>
      </c>
      <c r="N360" t="b">
        <v>1</v>
      </c>
      <c r="O360" t="b">
        <v>1</v>
      </c>
      <c r="P360" t="b">
        <v>0</v>
      </c>
    </row>
    <row r="361" spans="1:16" x14ac:dyDescent="0.45">
      <c r="A361" t="s">
        <v>2109</v>
      </c>
      <c r="B361" t="b">
        <f>IF(COUNTIF($D22:$D360, D361) &gt; 1, "")</f>
        <v>0</v>
      </c>
      <c r="C361" s="2">
        <v>105141232</v>
      </c>
      <c r="D361" t="s">
        <v>355</v>
      </c>
      <c r="E361" t="s">
        <v>21</v>
      </c>
      <c r="F361" t="s">
        <v>356</v>
      </c>
      <c r="G361" t="s">
        <v>251</v>
      </c>
      <c r="H361" t="s">
        <v>357</v>
      </c>
      <c r="I361" t="s">
        <v>358</v>
      </c>
      <c r="J361" t="s">
        <v>2112</v>
      </c>
      <c r="K361" t="s">
        <v>2112</v>
      </c>
      <c r="L361" t="s">
        <v>18</v>
      </c>
      <c r="M361" t="s">
        <v>18</v>
      </c>
      <c r="N361" t="b">
        <v>1</v>
      </c>
      <c r="O361" t="b">
        <v>1</v>
      </c>
      <c r="P361" t="b">
        <v>0</v>
      </c>
    </row>
    <row r="362" spans="1:16" x14ac:dyDescent="0.45">
      <c r="A362" t="s">
        <v>2109</v>
      </c>
      <c r="B362" t="b">
        <f>IF(COUNTIF($D23:$D361, D362) &gt; 1, "")</f>
        <v>0</v>
      </c>
      <c r="C362" s="2">
        <v>105030055</v>
      </c>
      <c r="D362" t="s">
        <v>1857</v>
      </c>
      <c r="E362" t="s">
        <v>21</v>
      </c>
      <c r="F362" t="s">
        <v>1858</v>
      </c>
      <c r="G362" t="s">
        <v>1722</v>
      </c>
      <c r="H362" t="s">
        <v>1859</v>
      </c>
      <c r="I362" t="s">
        <v>1860</v>
      </c>
      <c r="J362" t="s">
        <v>2491</v>
      </c>
      <c r="K362" t="s">
        <v>2491</v>
      </c>
      <c r="L362" t="s">
        <v>1861</v>
      </c>
      <c r="M362" t="s">
        <v>1861</v>
      </c>
      <c r="N362" t="b">
        <v>1</v>
      </c>
      <c r="O362" t="b">
        <v>1</v>
      </c>
      <c r="P362" t="b">
        <v>0</v>
      </c>
    </row>
    <row r="363" spans="1:16" x14ac:dyDescent="0.45">
      <c r="A363" t="s">
        <v>2109</v>
      </c>
      <c r="B363" t="b">
        <f>IF(COUNTIF($D24:$D362, D363) &gt; 1, "")</f>
        <v>0</v>
      </c>
      <c r="C363" s="2">
        <v>104996971</v>
      </c>
      <c r="D363" t="s">
        <v>1862</v>
      </c>
      <c r="E363" t="s">
        <v>21</v>
      </c>
      <c r="F363" t="s">
        <v>1863</v>
      </c>
      <c r="G363" t="s">
        <v>847</v>
      </c>
      <c r="H363" t="s">
        <v>1864</v>
      </c>
      <c r="I363" t="s">
        <v>1865</v>
      </c>
      <c r="J363" t="s">
        <v>2492</v>
      </c>
      <c r="K363" t="s">
        <v>2492</v>
      </c>
      <c r="L363" t="s">
        <v>1866</v>
      </c>
      <c r="M363" t="s">
        <v>1866</v>
      </c>
      <c r="N363" t="b">
        <v>1</v>
      </c>
      <c r="O363" t="b">
        <v>1</v>
      </c>
      <c r="P363" t="b">
        <v>0</v>
      </c>
    </row>
    <row r="364" spans="1:16" x14ac:dyDescent="0.45">
      <c r="A364" t="s">
        <v>2109</v>
      </c>
      <c r="B364" t="b">
        <f>IF(COUNTIF($D25:$D363, D364) &gt; 1, "")</f>
        <v>0</v>
      </c>
      <c r="C364" s="2">
        <v>104899358</v>
      </c>
      <c r="D364" t="s">
        <v>1867</v>
      </c>
      <c r="E364" t="s">
        <v>21</v>
      </c>
      <c r="F364" t="s">
        <v>1868</v>
      </c>
      <c r="G364" t="s">
        <v>1869</v>
      </c>
      <c r="H364" t="s">
        <v>1870</v>
      </c>
      <c r="I364" t="s">
        <v>1871</v>
      </c>
      <c r="J364" t="s">
        <v>2493</v>
      </c>
      <c r="K364" t="s">
        <v>2112</v>
      </c>
      <c r="L364" t="s">
        <v>1872</v>
      </c>
      <c r="M364" t="s">
        <v>18</v>
      </c>
      <c r="N364" t="b">
        <v>1</v>
      </c>
      <c r="O364" t="b">
        <v>1</v>
      </c>
      <c r="P364" t="b">
        <v>0</v>
      </c>
    </row>
    <row r="365" spans="1:16" x14ac:dyDescent="0.45">
      <c r="A365" t="s">
        <v>2109</v>
      </c>
      <c r="B365" t="b">
        <f>IF(COUNTIF($D26:$D364, D365) &gt; 1, "")</f>
        <v>0</v>
      </c>
      <c r="C365" s="2">
        <v>104852287</v>
      </c>
      <c r="D365" t="s">
        <v>1873</v>
      </c>
      <c r="E365" t="s">
        <v>21</v>
      </c>
      <c r="F365" t="s">
        <v>1874</v>
      </c>
      <c r="G365" t="s">
        <v>1875</v>
      </c>
      <c r="H365" t="s">
        <v>1876</v>
      </c>
      <c r="I365" t="s">
        <v>1877</v>
      </c>
      <c r="J365" t="s">
        <v>2494</v>
      </c>
      <c r="K365" t="s">
        <v>2112</v>
      </c>
      <c r="L365" t="s">
        <v>1878</v>
      </c>
      <c r="M365" t="s">
        <v>18</v>
      </c>
      <c r="N365" t="b">
        <v>1</v>
      </c>
      <c r="O365" t="b">
        <v>1</v>
      </c>
      <c r="P365" t="b">
        <v>0</v>
      </c>
    </row>
    <row r="366" spans="1:16" x14ac:dyDescent="0.45">
      <c r="A366" t="s">
        <v>2109</v>
      </c>
      <c r="B366" t="b">
        <f>IF(COUNTIF($D27:$D365, D366) &gt; 1, "")</f>
        <v>0</v>
      </c>
      <c r="C366" s="2">
        <v>104670851</v>
      </c>
      <c r="D366" t="s">
        <v>1879</v>
      </c>
      <c r="E366" t="s">
        <v>21</v>
      </c>
      <c r="F366" t="s">
        <v>294</v>
      </c>
      <c r="G366" t="s">
        <v>42</v>
      </c>
      <c r="H366" t="s">
        <v>1880</v>
      </c>
      <c r="I366" t="s">
        <v>1881</v>
      </c>
      <c r="J366" t="s">
        <v>2495</v>
      </c>
      <c r="K366" t="s">
        <v>2112</v>
      </c>
      <c r="L366" t="s">
        <v>1882</v>
      </c>
      <c r="M366" t="s">
        <v>18</v>
      </c>
      <c r="N366" t="b">
        <v>1</v>
      </c>
      <c r="O366" t="b">
        <v>1</v>
      </c>
      <c r="P366" t="b">
        <v>0</v>
      </c>
    </row>
    <row r="367" spans="1:16" x14ac:dyDescent="0.45">
      <c r="A367" t="s">
        <v>2109</v>
      </c>
      <c r="B367" t="b">
        <f>IF(COUNTIF($D28:$D366, D367) &gt; 1, "")</f>
        <v>0</v>
      </c>
      <c r="C367" s="2">
        <v>104561014</v>
      </c>
      <c r="D367" t="s">
        <v>1883</v>
      </c>
      <c r="E367" t="s">
        <v>21</v>
      </c>
      <c r="F367" t="s">
        <v>1884</v>
      </c>
      <c r="G367" t="s">
        <v>775</v>
      </c>
      <c r="H367" t="s">
        <v>1885</v>
      </c>
      <c r="I367" t="s">
        <v>1886</v>
      </c>
      <c r="J367" t="s">
        <v>2496</v>
      </c>
      <c r="K367" t="s">
        <v>2496</v>
      </c>
      <c r="L367" t="s">
        <v>1887</v>
      </c>
      <c r="M367" t="s">
        <v>1887</v>
      </c>
      <c r="N367" t="b">
        <v>1</v>
      </c>
      <c r="O367" t="b">
        <v>1</v>
      </c>
      <c r="P367" t="b">
        <v>0</v>
      </c>
    </row>
    <row r="368" spans="1:16" x14ac:dyDescent="0.45">
      <c r="A368" t="s">
        <v>2109</v>
      </c>
      <c r="B368" t="b">
        <f>IF(COUNTIF($D29:$D367, D368) &gt; 1, "")</f>
        <v>0</v>
      </c>
      <c r="C368" s="2">
        <v>104522693</v>
      </c>
      <c r="D368" t="s">
        <v>1888</v>
      </c>
      <c r="E368" t="s">
        <v>21</v>
      </c>
      <c r="F368" t="s">
        <v>1889</v>
      </c>
      <c r="G368" t="s">
        <v>629</v>
      </c>
      <c r="H368" t="s">
        <v>1890</v>
      </c>
      <c r="I368" t="s">
        <v>1891</v>
      </c>
      <c r="J368" t="s">
        <v>2497</v>
      </c>
      <c r="K368" t="s">
        <v>2497</v>
      </c>
      <c r="L368" t="s">
        <v>1892</v>
      </c>
      <c r="M368" t="s">
        <v>1892</v>
      </c>
      <c r="N368" t="b">
        <v>1</v>
      </c>
      <c r="O368" t="b">
        <v>1</v>
      </c>
      <c r="P368" t="b">
        <v>0</v>
      </c>
    </row>
    <row r="369" spans="1:16" x14ac:dyDescent="0.45">
      <c r="A369" t="s">
        <v>2109</v>
      </c>
      <c r="B369" t="b">
        <f>IF(COUNTIF($D30:$D368, D369) &gt; 1, "")</f>
        <v>0</v>
      </c>
      <c r="C369" s="2">
        <v>104511170</v>
      </c>
      <c r="D369" t="s">
        <v>1893</v>
      </c>
      <c r="E369" t="s">
        <v>21</v>
      </c>
      <c r="F369" t="s">
        <v>1894</v>
      </c>
      <c r="G369" t="s">
        <v>611</v>
      </c>
      <c r="H369" t="s">
        <v>1895</v>
      </c>
      <c r="I369" t="s">
        <v>1896</v>
      </c>
      <c r="J369" t="s">
        <v>2498</v>
      </c>
      <c r="K369" t="s">
        <v>2498</v>
      </c>
      <c r="L369" t="s">
        <v>1897</v>
      </c>
      <c r="M369" t="s">
        <v>1897</v>
      </c>
      <c r="N369" t="b">
        <v>1</v>
      </c>
      <c r="O369" t="b">
        <v>1</v>
      </c>
      <c r="P369" t="b">
        <v>0</v>
      </c>
    </row>
    <row r="370" spans="1:16" x14ac:dyDescent="0.45">
      <c r="A370" t="s">
        <v>2109</v>
      </c>
      <c r="B370" t="b">
        <f>IF(COUNTIF($D31:$D369, D370) &gt; 1, "")</f>
        <v>0</v>
      </c>
      <c r="C370" s="2">
        <v>104437154</v>
      </c>
      <c r="D370" t="s">
        <v>1898</v>
      </c>
      <c r="E370" t="s">
        <v>21</v>
      </c>
      <c r="F370" t="s">
        <v>1899</v>
      </c>
      <c r="G370" t="s">
        <v>1900</v>
      </c>
      <c r="H370" t="s">
        <v>1901</v>
      </c>
      <c r="I370" t="s">
        <v>1902</v>
      </c>
      <c r="J370" t="s">
        <v>2499</v>
      </c>
      <c r="K370" t="s">
        <v>2499</v>
      </c>
      <c r="L370" t="s">
        <v>1903</v>
      </c>
      <c r="M370" t="s">
        <v>1903</v>
      </c>
      <c r="N370" t="b">
        <v>1</v>
      </c>
      <c r="O370" t="b">
        <v>1</v>
      </c>
      <c r="P370" t="b">
        <v>0</v>
      </c>
    </row>
    <row r="371" spans="1:16" x14ac:dyDescent="0.45">
      <c r="A371" t="s">
        <v>2109</v>
      </c>
      <c r="B371" t="b">
        <f>IF(COUNTIF($D32:$D370, D371) &gt; 1, "")</f>
        <v>0</v>
      </c>
      <c r="C371" s="2">
        <v>104400426</v>
      </c>
      <c r="D371" t="s">
        <v>633</v>
      </c>
      <c r="E371" t="s">
        <v>21</v>
      </c>
      <c r="F371" t="s">
        <v>523</v>
      </c>
      <c r="G371" t="s">
        <v>524</v>
      </c>
      <c r="H371" t="s">
        <v>1904</v>
      </c>
      <c r="I371" t="s">
        <v>1905</v>
      </c>
      <c r="J371" t="s">
        <v>2205</v>
      </c>
      <c r="K371" t="s">
        <v>2206</v>
      </c>
      <c r="L371" t="s">
        <v>527</v>
      </c>
      <c r="M371" t="s">
        <v>528</v>
      </c>
      <c r="N371" t="b">
        <v>1</v>
      </c>
      <c r="O371" t="b">
        <v>1</v>
      </c>
      <c r="P371" t="b">
        <v>0</v>
      </c>
    </row>
    <row r="372" spans="1:16" x14ac:dyDescent="0.45">
      <c r="A372" t="s">
        <v>2109</v>
      </c>
      <c r="B372" t="b">
        <f>IF(COUNTIF($D33:$D371, D372) &gt; 1, "")</f>
        <v>0</v>
      </c>
      <c r="C372" s="2">
        <v>104275895</v>
      </c>
      <c r="D372" t="s">
        <v>1906</v>
      </c>
      <c r="E372" t="s">
        <v>21</v>
      </c>
      <c r="F372" t="s">
        <v>1907</v>
      </c>
      <c r="G372" t="s">
        <v>311</v>
      </c>
      <c r="H372" t="s">
        <v>1908</v>
      </c>
      <c r="I372" t="s">
        <v>1909</v>
      </c>
      <c r="J372" t="s">
        <v>2309</v>
      </c>
      <c r="K372" t="s">
        <v>2309</v>
      </c>
      <c r="L372" t="s">
        <v>1026</v>
      </c>
      <c r="M372" t="s">
        <v>1026</v>
      </c>
      <c r="N372" t="b">
        <v>1</v>
      </c>
      <c r="O372" t="b">
        <v>1</v>
      </c>
      <c r="P372" t="b">
        <v>0</v>
      </c>
    </row>
    <row r="373" spans="1:16" x14ac:dyDescent="0.45">
      <c r="A373" t="s">
        <v>2109</v>
      </c>
      <c r="B373" t="b">
        <f>IF(COUNTIF($D34:$D372, D373) &gt; 1, "")</f>
        <v>0</v>
      </c>
      <c r="C373" s="2">
        <v>103590972</v>
      </c>
      <c r="D373" t="s">
        <v>1910</v>
      </c>
      <c r="E373" t="s">
        <v>21</v>
      </c>
      <c r="F373" t="s">
        <v>1911</v>
      </c>
      <c r="G373" t="s">
        <v>306</v>
      </c>
      <c r="H373" t="s">
        <v>1912</v>
      </c>
      <c r="I373" t="s">
        <v>1913</v>
      </c>
      <c r="J373" t="s">
        <v>2500</v>
      </c>
      <c r="K373" t="s">
        <v>2500</v>
      </c>
      <c r="L373" t="s">
        <v>1914</v>
      </c>
      <c r="M373" t="s">
        <v>1914</v>
      </c>
      <c r="N373" t="b">
        <v>1</v>
      </c>
      <c r="O373" t="b">
        <v>1</v>
      </c>
      <c r="P373" t="b">
        <v>0</v>
      </c>
    </row>
    <row r="374" spans="1:16" x14ac:dyDescent="0.45">
      <c r="A374" t="s">
        <v>2109</v>
      </c>
      <c r="B374" t="b">
        <f>IF(COUNTIF($D35:$D373, D374) &gt; 1, "")</f>
        <v>0</v>
      </c>
      <c r="C374" s="2">
        <v>103574497</v>
      </c>
      <c r="D374" t="s">
        <v>1915</v>
      </c>
      <c r="E374" t="s">
        <v>21</v>
      </c>
      <c r="F374" t="s">
        <v>603</v>
      </c>
      <c r="G374" t="s">
        <v>604</v>
      </c>
      <c r="H374" t="s">
        <v>605</v>
      </c>
      <c r="I374" t="s">
        <v>606</v>
      </c>
      <c r="J374" t="s">
        <v>2220</v>
      </c>
      <c r="K374" t="s">
        <v>2221</v>
      </c>
      <c r="L374" t="s">
        <v>607</v>
      </c>
      <c r="M374" t="s">
        <v>608</v>
      </c>
      <c r="N374" t="b">
        <v>1</v>
      </c>
      <c r="O374" t="b">
        <v>1</v>
      </c>
      <c r="P374" t="b">
        <v>0</v>
      </c>
    </row>
    <row r="375" spans="1:16" x14ac:dyDescent="0.45">
      <c r="A375" t="s">
        <v>2109</v>
      </c>
      <c r="B375" t="b">
        <f>IF(COUNTIF($D36:$D374, D375) &gt; 1, "")</f>
        <v>0</v>
      </c>
      <c r="C375" s="2">
        <v>103373999</v>
      </c>
      <c r="D375" t="s">
        <v>1916</v>
      </c>
      <c r="E375" t="s">
        <v>21</v>
      </c>
      <c r="F375" t="s">
        <v>628</v>
      </c>
      <c r="G375" t="s">
        <v>629</v>
      </c>
      <c r="H375" t="s">
        <v>1917</v>
      </c>
      <c r="I375" t="s">
        <v>1918</v>
      </c>
      <c r="J375" t="s">
        <v>2501</v>
      </c>
      <c r="K375" t="s">
        <v>2112</v>
      </c>
      <c r="L375" t="s">
        <v>1919</v>
      </c>
      <c r="M375" t="s">
        <v>18</v>
      </c>
      <c r="N375" t="b">
        <v>1</v>
      </c>
      <c r="O375" t="b">
        <v>1</v>
      </c>
      <c r="P375" t="b">
        <v>0</v>
      </c>
    </row>
    <row r="376" spans="1:16" x14ac:dyDescent="0.45">
      <c r="A376" t="s">
        <v>2109</v>
      </c>
      <c r="B376" t="b">
        <f>IF(COUNTIF($D37:$D375, D376) &gt; 1, "")</f>
        <v>0</v>
      </c>
      <c r="C376" s="2">
        <v>103362113</v>
      </c>
      <c r="D376" t="s">
        <v>2548</v>
      </c>
      <c r="E376" t="s">
        <v>21</v>
      </c>
      <c r="F376" t="s">
        <v>1920</v>
      </c>
      <c r="G376" t="s">
        <v>54</v>
      </c>
      <c r="H376" t="s">
        <v>1921</v>
      </c>
      <c r="I376" t="s">
        <v>1922</v>
      </c>
      <c r="J376" t="s">
        <v>2502</v>
      </c>
      <c r="K376" t="s">
        <v>2502</v>
      </c>
      <c r="L376" t="s">
        <v>1923</v>
      </c>
      <c r="M376" t="s">
        <v>1923</v>
      </c>
      <c r="N376" t="b">
        <v>1</v>
      </c>
      <c r="O376" t="b">
        <v>1</v>
      </c>
      <c r="P376" t="b">
        <v>0</v>
      </c>
    </row>
    <row r="377" spans="1:16" x14ac:dyDescent="0.45">
      <c r="A377" t="s">
        <v>2109</v>
      </c>
      <c r="B377" t="b">
        <f>IF(COUNTIF($D38:$D376, D377) &gt; 1, "")</f>
        <v>0</v>
      </c>
      <c r="C377" s="2">
        <v>103353062</v>
      </c>
      <c r="D377" t="s">
        <v>1924</v>
      </c>
      <c r="E377" t="s">
        <v>21</v>
      </c>
      <c r="F377" t="s">
        <v>1925</v>
      </c>
      <c r="G377" t="s">
        <v>103</v>
      </c>
      <c r="H377" t="s">
        <v>1926</v>
      </c>
      <c r="I377" t="s">
        <v>1927</v>
      </c>
      <c r="J377" t="s">
        <v>2503</v>
      </c>
      <c r="K377">
        <v>1047156186</v>
      </c>
      <c r="L377" t="s">
        <v>1928</v>
      </c>
      <c r="M377" t="s">
        <v>1929</v>
      </c>
      <c r="N377" t="b">
        <v>1</v>
      </c>
      <c r="O377" t="b">
        <v>1</v>
      </c>
      <c r="P377" t="b">
        <v>0</v>
      </c>
    </row>
    <row r="378" spans="1:16" x14ac:dyDescent="0.45">
      <c r="A378" t="s">
        <v>2109</v>
      </c>
      <c r="B378" t="b">
        <f>IF(COUNTIF($D39:$D377, D378) &gt; 1, "")</f>
        <v>0</v>
      </c>
      <c r="C378" s="2">
        <v>103257024</v>
      </c>
      <c r="D378" t="s">
        <v>1930</v>
      </c>
      <c r="E378" t="s">
        <v>21</v>
      </c>
      <c r="F378" t="s">
        <v>598</v>
      </c>
      <c r="G378" t="s">
        <v>175</v>
      </c>
      <c r="H378" t="s">
        <v>1931</v>
      </c>
      <c r="I378" t="s">
        <v>1932</v>
      </c>
      <c r="J378" t="s">
        <v>2219</v>
      </c>
      <c r="K378" t="s">
        <v>2112</v>
      </c>
      <c r="L378" t="s">
        <v>601</v>
      </c>
      <c r="M378" t="s">
        <v>18</v>
      </c>
      <c r="N378" t="b">
        <v>1</v>
      </c>
      <c r="O378" t="b">
        <v>1</v>
      </c>
      <c r="P378" t="b">
        <v>0</v>
      </c>
    </row>
    <row r="379" spans="1:16" x14ac:dyDescent="0.45">
      <c r="A379" t="s">
        <v>2109</v>
      </c>
      <c r="B379" t="b">
        <f>IF(COUNTIF($D40:$D378, D379) &gt; 1, "")</f>
        <v>0</v>
      </c>
      <c r="C379" s="2">
        <v>103256217</v>
      </c>
      <c r="D379" t="s">
        <v>1933</v>
      </c>
      <c r="E379" t="s">
        <v>21</v>
      </c>
      <c r="F379" t="s">
        <v>1934</v>
      </c>
      <c r="G379" t="s">
        <v>1935</v>
      </c>
      <c r="H379" t="s">
        <v>1936</v>
      </c>
      <c r="I379" t="s">
        <v>1937</v>
      </c>
      <c r="J379" t="s">
        <v>2504</v>
      </c>
      <c r="K379" t="s">
        <v>2112</v>
      </c>
      <c r="L379" t="s">
        <v>1938</v>
      </c>
      <c r="M379" t="s">
        <v>18</v>
      </c>
      <c r="N379" t="b">
        <v>1</v>
      </c>
      <c r="O379" t="b">
        <v>1</v>
      </c>
      <c r="P379" t="b">
        <v>0</v>
      </c>
    </row>
    <row r="380" spans="1:16" x14ac:dyDescent="0.45">
      <c r="A380" t="s">
        <v>2109</v>
      </c>
      <c r="B380" t="b">
        <f>IF(COUNTIF($D41:$D379, D380) &gt; 1, "")</f>
        <v>0</v>
      </c>
      <c r="C380" s="2">
        <v>103244730</v>
      </c>
      <c r="D380" t="s">
        <v>1939</v>
      </c>
      <c r="E380" t="s">
        <v>21</v>
      </c>
      <c r="F380" t="s">
        <v>1940</v>
      </c>
      <c r="G380" t="s">
        <v>1007</v>
      </c>
      <c r="H380" t="s">
        <v>1941</v>
      </c>
      <c r="I380" t="s">
        <v>1942</v>
      </c>
      <c r="J380" t="s">
        <v>2505</v>
      </c>
      <c r="K380" t="s">
        <v>2112</v>
      </c>
      <c r="L380" t="s">
        <v>1943</v>
      </c>
      <c r="M380" t="s">
        <v>18</v>
      </c>
      <c r="N380" t="b">
        <v>1</v>
      </c>
      <c r="O380" t="b">
        <v>1</v>
      </c>
      <c r="P380" t="b">
        <v>0</v>
      </c>
    </row>
    <row r="381" spans="1:16" x14ac:dyDescent="0.45">
      <c r="A381" t="s">
        <v>2109</v>
      </c>
      <c r="B381" t="b">
        <f>IF(COUNTIF($D42:$D380, D381) &gt; 1, "")</f>
        <v>0</v>
      </c>
      <c r="C381" s="2">
        <v>103203943</v>
      </c>
      <c r="D381" t="s">
        <v>1944</v>
      </c>
      <c r="E381" t="s">
        <v>21</v>
      </c>
      <c r="F381" t="s">
        <v>1945</v>
      </c>
      <c r="G381" t="s">
        <v>775</v>
      </c>
      <c r="H381" t="s">
        <v>1946</v>
      </c>
      <c r="I381" t="s">
        <v>1947</v>
      </c>
      <c r="J381" t="s">
        <v>2506</v>
      </c>
      <c r="K381" t="s">
        <v>2112</v>
      </c>
      <c r="L381" t="s">
        <v>1948</v>
      </c>
      <c r="M381" t="s">
        <v>18</v>
      </c>
      <c r="N381" t="b">
        <v>1</v>
      </c>
      <c r="O381" t="b">
        <v>1</v>
      </c>
      <c r="P381" t="b">
        <v>0</v>
      </c>
    </row>
    <row r="382" spans="1:16" x14ac:dyDescent="0.45">
      <c r="A382" t="s">
        <v>2109</v>
      </c>
      <c r="B382" t="b">
        <f>IF(COUNTIF($D43:$D381, D382) &gt; 1, "")</f>
        <v>0</v>
      </c>
      <c r="C382" s="2">
        <v>103200237</v>
      </c>
      <c r="D382" t="s">
        <v>1038</v>
      </c>
      <c r="E382" t="s">
        <v>21</v>
      </c>
      <c r="F382" t="s">
        <v>1949</v>
      </c>
      <c r="G382" t="s">
        <v>1950</v>
      </c>
      <c r="H382" t="s">
        <v>1951</v>
      </c>
      <c r="I382" t="s">
        <v>1952</v>
      </c>
      <c r="J382" t="s">
        <v>2507</v>
      </c>
      <c r="K382" t="s">
        <v>2507</v>
      </c>
      <c r="L382" t="s">
        <v>1953</v>
      </c>
      <c r="M382" t="s">
        <v>1953</v>
      </c>
      <c r="N382" t="b">
        <v>1</v>
      </c>
      <c r="O382" t="b">
        <v>1</v>
      </c>
      <c r="P382" t="b">
        <v>0</v>
      </c>
    </row>
    <row r="383" spans="1:16" x14ac:dyDescent="0.45">
      <c r="A383" t="s">
        <v>2109</v>
      </c>
      <c r="B383" t="b">
        <f>IF(COUNTIF($D44:$D382, D383) &gt; 1, "")</f>
        <v>0</v>
      </c>
      <c r="C383" s="2">
        <v>103198116</v>
      </c>
      <c r="D383" t="s">
        <v>1680</v>
      </c>
      <c r="E383" t="s">
        <v>21</v>
      </c>
      <c r="F383" t="s">
        <v>1681</v>
      </c>
      <c r="G383" t="s">
        <v>1575</v>
      </c>
      <c r="H383" t="s">
        <v>1682</v>
      </c>
      <c r="I383" t="s">
        <v>1683</v>
      </c>
      <c r="J383" t="s">
        <v>2456</v>
      </c>
      <c r="K383" t="s">
        <v>2456</v>
      </c>
      <c r="L383" t="s">
        <v>1684</v>
      </c>
      <c r="M383" t="s">
        <v>1684</v>
      </c>
      <c r="N383" t="b">
        <v>1</v>
      </c>
      <c r="O383" t="b">
        <v>1</v>
      </c>
      <c r="P383" t="b">
        <v>0</v>
      </c>
    </row>
    <row r="384" spans="1:16" x14ac:dyDescent="0.45">
      <c r="A384" t="s">
        <v>2109</v>
      </c>
      <c r="B384" t="b">
        <f>IF(COUNTIF($D45:$D383, D384) &gt; 1, "")</f>
        <v>0</v>
      </c>
      <c r="C384" s="2">
        <v>103198047</v>
      </c>
      <c r="D384" t="s">
        <v>1954</v>
      </c>
      <c r="E384" t="s">
        <v>21</v>
      </c>
      <c r="F384" t="s">
        <v>1224</v>
      </c>
      <c r="G384" t="s">
        <v>1225</v>
      </c>
      <c r="H384" t="s">
        <v>1955</v>
      </c>
      <c r="I384" t="s">
        <v>1956</v>
      </c>
      <c r="J384" t="s">
        <v>2350</v>
      </c>
      <c r="K384" t="s">
        <v>2350</v>
      </c>
      <c r="L384" t="s">
        <v>1228</v>
      </c>
      <c r="M384" t="s">
        <v>1228</v>
      </c>
      <c r="N384" t="b">
        <v>1</v>
      </c>
      <c r="O384" t="b">
        <v>1</v>
      </c>
      <c r="P384" t="b">
        <v>0</v>
      </c>
    </row>
    <row r="385" spans="1:16" x14ac:dyDescent="0.45">
      <c r="A385" t="s">
        <v>2109</v>
      </c>
      <c r="B385" t="b">
        <f>IF(COUNTIF($D46:$D384, D385) &gt; 1, "")</f>
        <v>0</v>
      </c>
      <c r="C385" s="2">
        <v>103197308</v>
      </c>
      <c r="D385" t="s">
        <v>1957</v>
      </c>
      <c r="E385" t="s">
        <v>21</v>
      </c>
      <c r="F385" t="s">
        <v>862</v>
      </c>
      <c r="G385" t="s">
        <v>623</v>
      </c>
      <c r="H385" t="s">
        <v>1958</v>
      </c>
      <c r="I385" t="s">
        <v>1959</v>
      </c>
      <c r="J385" t="s">
        <v>2508</v>
      </c>
      <c r="K385" t="s">
        <v>2508</v>
      </c>
      <c r="L385" t="s">
        <v>1960</v>
      </c>
      <c r="M385" t="s">
        <v>1960</v>
      </c>
      <c r="N385" t="b">
        <v>1</v>
      </c>
      <c r="O385" t="b">
        <v>1</v>
      </c>
      <c r="P385" t="b">
        <v>0</v>
      </c>
    </row>
    <row r="386" spans="1:16" x14ac:dyDescent="0.45">
      <c r="A386" t="s">
        <v>2109</v>
      </c>
      <c r="B386" t="b">
        <f>IF(COUNTIF($D47:$D385, D386) &gt; 1, "")</f>
        <v>0</v>
      </c>
      <c r="C386" s="2">
        <v>103193003</v>
      </c>
      <c r="D386" t="s">
        <v>1451</v>
      </c>
      <c r="E386" t="s">
        <v>21</v>
      </c>
      <c r="F386" t="s">
        <v>1452</v>
      </c>
      <c r="G386" t="s">
        <v>311</v>
      </c>
      <c r="H386" t="s">
        <v>1453</v>
      </c>
      <c r="I386" t="s">
        <v>1454</v>
      </c>
      <c r="J386" t="s">
        <v>2398</v>
      </c>
      <c r="K386" t="s">
        <v>2398</v>
      </c>
      <c r="L386" t="s">
        <v>1455</v>
      </c>
      <c r="M386" t="s">
        <v>1455</v>
      </c>
      <c r="N386" t="b">
        <v>1</v>
      </c>
      <c r="O386" t="b">
        <v>1</v>
      </c>
      <c r="P386" t="b">
        <v>0</v>
      </c>
    </row>
    <row r="387" spans="1:16" x14ac:dyDescent="0.45">
      <c r="A387" t="s">
        <v>2109</v>
      </c>
      <c r="B387" t="b">
        <f>IF(COUNTIF($D48:$D386, D387) &gt; 1, "")</f>
        <v>0</v>
      </c>
      <c r="C387" s="2">
        <v>103190178</v>
      </c>
      <c r="D387" t="s">
        <v>1961</v>
      </c>
      <c r="E387" t="s">
        <v>21</v>
      </c>
      <c r="F387" t="s">
        <v>790</v>
      </c>
      <c r="G387" t="s">
        <v>563</v>
      </c>
      <c r="H387" t="s">
        <v>791</v>
      </c>
      <c r="I387" t="s">
        <v>792</v>
      </c>
      <c r="J387" t="s">
        <v>2256</v>
      </c>
      <c r="K387" t="s">
        <v>2256</v>
      </c>
      <c r="L387" t="s">
        <v>793</v>
      </c>
      <c r="M387" t="s">
        <v>793</v>
      </c>
      <c r="N387" t="b">
        <v>1</v>
      </c>
      <c r="O387" t="b">
        <v>1</v>
      </c>
      <c r="P387" t="b">
        <v>0</v>
      </c>
    </row>
    <row r="388" spans="1:16" x14ac:dyDescent="0.45">
      <c r="A388" t="s">
        <v>2109</v>
      </c>
      <c r="B388" t="str">
        <f>IF(COUNTIF($D49:$D387, D388) &gt; 1, "")</f>
        <v/>
      </c>
      <c r="C388" s="2">
        <v>103190126</v>
      </c>
      <c r="D388" t="s">
        <v>1016</v>
      </c>
      <c r="E388" t="s">
        <v>21</v>
      </c>
      <c r="F388" t="s">
        <v>1017</v>
      </c>
      <c r="G388" t="s">
        <v>23</v>
      </c>
      <c r="H388" t="s">
        <v>1018</v>
      </c>
      <c r="I388" t="s">
        <v>1019</v>
      </c>
      <c r="J388" t="s">
        <v>2308</v>
      </c>
      <c r="K388" t="s">
        <v>2307</v>
      </c>
      <c r="L388" t="s">
        <v>1021</v>
      </c>
      <c r="M388" t="s">
        <v>1020</v>
      </c>
      <c r="N388" t="b">
        <v>1</v>
      </c>
      <c r="O388" t="b">
        <v>1</v>
      </c>
      <c r="P388" t="b">
        <v>0</v>
      </c>
    </row>
    <row r="389" spans="1:16" x14ac:dyDescent="0.45">
      <c r="A389" t="s">
        <v>2109</v>
      </c>
      <c r="B389" t="b">
        <f>IF(COUNTIF($D50:$D388, D389) &gt; 1, "")</f>
        <v>0</v>
      </c>
      <c r="C389" s="2">
        <v>103190012</v>
      </c>
      <c r="D389" t="s">
        <v>1469</v>
      </c>
      <c r="E389" t="s">
        <v>21</v>
      </c>
      <c r="F389" t="s">
        <v>954</v>
      </c>
      <c r="G389" t="s">
        <v>396</v>
      </c>
      <c r="H389" t="s">
        <v>1470</v>
      </c>
      <c r="I389" t="s">
        <v>1471</v>
      </c>
      <c r="J389" t="s">
        <v>2403</v>
      </c>
      <c r="K389" t="s">
        <v>2404</v>
      </c>
      <c r="L389" t="s">
        <v>1472</v>
      </c>
      <c r="M389" t="s">
        <v>1473</v>
      </c>
      <c r="N389" t="b">
        <v>1</v>
      </c>
      <c r="O389" t="b">
        <v>1</v>
      </c>
      <c r="P389" t="b">
        <v>0</v>
      </c>
    </row>
    <row r="390" spans="1:16" x14ac:dyDescent="0.45">
      <c r="A390" t="s">
        <v>2109</v>
      </c>
      <c r="B390" t="b">
        <f>IF(COUNTIF($D51:$D389, D390) &gt; 1, "")</f>
        <v>0</v>
      </c>
      <c r="C390" s="2">
        <v>103189880</v>
      </c>
      <c r="D390" t="s">
        <v>1962</v>
      </c>
      <c r="E390" t="s">
        <v>21</v>
      </c>
      <c r="F390" t="s">
        <v>743</v>
      </c>
      <c r="G390" t="s">
        <v>419</v>
      </c>
      <c r="H390" t="s">
        <v>744</v>
      </c>
      <c r="I390" t="s">
        <v>745</v>
      </c>
      <c r="J390" t="s">
        <v>2509</v>
      </c>
      <c r="K390" t="s">
        <v>2509</v>
      </c>
      <c r="L390" t="s">
        <v>1963</v>
      </c>
      <c r="M390" t="s">
        <v>1963</v>
      </c>
      <c r="N390" t="b">
        <v>1</v>
      </c>
      <c r="O390" t="b">
        <v>1</v>
      </c>
      <c r="P390" t="b">
        <v>0</v>
      </c>
    </row>
    <row r="391" spans="1:16" x14ac:dyDescent="0.45">
      <c r="A391" t="s">
        <v>2109</v>
      </c>
      <c r="B391" t="b">
        <f>IF(COUNTIF($D52:$D390, D391) &gt; 1, "")</f>
        <v>0</v>
      </c>
      <c r="C391" s="2">
        <v>103189701</v>
      </c>
      <c r="D391" t="s">
        <v>993</v>
      </c>
      <c r="E391" t="s">
        <v>21</v>
      </c>
      <c r="F391" t="s">
        <v>994</v>
      </c>
      <c r="G391" t="s">
        <v>15</v>
      </c>
      <c r="H391" t="s">
        <v>995</v>
      </c>
      <c r="I391" t="s">
        <v>996</v>
      </c>
      <c r="J391" t="s">
        <v>2301</v>
      </c>
      <c r="K391" t="s">
        <v>2301</v>
      </c>
      <c r="L391" t="s">
        <v>997</v>
      </c>
      <c r="M391" t="s">
        <v>997</v>
      </c>
      <c r="N391" t="b">
        <v>1</v>
      </c>
      <c r="O391" t="b">
        <v>1</v>
      </c>
      <c r="P391" t="b">
        <v>0</v>
      </c>
    </row>
    <row r="392" spans="1:16" x14ac:dyDescent="0.45">
      <c r="A392" t="s">
        <v>2109</v>
      </c>
      <c r="B392" t="b">
        <f>IF(COUNTIF($D53:$D391, D392) &gt; 1, "")</f>
        <v>0</v>
      </c>
      <c r="C392" s="2">
        <v>103188654</v>
      </c>
      <c r="D392" t="s">
        <v>1964</v>
      </c>
      <c r="E392" t="s">
        <v>21</v>
      </c>
      <c r="F392" t="s">
        <v>911</v>
      </c>
      <c r="G392" t="s">
        <v>775</v>
      </c>
      <c r="H392" t="s">
        <v>912</v>
      </c>
      <c r="I392" t="s">
        <v>913</v>
      </c>
      <c r="J392" t="s">
        <v>2283</v>
      </c>
      <c r="K392" t="s">
        <v>2283</v>
      </c>
      <c r="L392" t="s">
        <v>914</v>
      </c>
      <c r="M392" t="s">
        <v>914</v>
      </c>
      <c r="N392" t="b">
        <v>1</v>
      </c>
      <c r="O392" t="b">
        <v>1</v>
      </c>
      <c r="P392" t="b">
        <v>0</v>
      </c>
    </row>
    <row r="393" spans="1:16" x14ac:dyDescent="0.45">
      <c r="A393" t="s">
        <v>2109</v>
      </c>
      <c r="B393" t="b">
        <f>IF(COUNTIF($D54:$D392, D393) &gt; 1, "")</f>
        <v>0</v>
      </c>
      <c r="C393" s="2">
        <v>103187950</v>
      </c>
      <c r="D393" t="s">
        <v>1965</v>
      </c>
      <c r="E393" t="s">
        <v>21</v>
      </c>
      <c r="F393" t="s">
        <v>1000</v>
      </c>
      <c r="G393" t="s">
        <v>114</v>
      </c>
      <c r="H393" t="s">
        <v>1966</v>
      </c>
      <c r="I393" t="s">
        <v>1967</v>
      </c>
      <c r="J393" t="s">
        <v>2510</v>
      </c>
      <c r="K393" t="s">
        <v>2510</v>
      </c>
      <c r="L393" t="s">
        <v>1968</v>
      </c>
      <c r="M393" t="s">
        <v>1968</v>
      </c>
      <c r="N393" t="b">
        <v>1</v>
      </c>
      <c r="O393" t="b">
        <v>1</v>
      </c>
      <c r="P393" t="b">
        <v>0</v>
      </c>
    </row>
    <row r="394" spans="1:16" x14ac:dyDescent="0.45">
      <c r="A394" t="s">
        <v>2109</v>
      </c>
      <c r="B394" t="b">
        <f>IF(COUNTIF($D55:$D393, D394) &gt; 1, "")</f>
        <v>0</v>
      </c>
      <c r="C394" s="2">
        <v>103187840</v>
      </c>
      <c r="D394" t="s">
        <v>784</v>
      </c>
      <c r="E394" t="s">
        <v>21</v>
      </c>
      <c r="F394" t="s">
        <v>785</v>
      </c>
      <c r="G394" t="s">
        <v>60</v>
      </c>
      <c r="H394" t="s">
        <v>786</v>
      </c>
      <c r="I394" t="s">
        <v>787</v>
      </c>
      <c r="J394" t="s">
        <v>2255</v>
      </c>
      <c r="K394" t="s">
        <v>2255</v>
      </c>
      <c r="L394" t="s">
        <v>788</v>
      </c>
      <c r="M394" t="s">
        <v>788</v>
      </c>
      <c r="N394" t="b">
        <v>1</v>
      </c>
      <c r="O394" t="b">
        <v>1</v>
      </c>
      <c r="P394" t="b">
        <v>0</v>
      </c>
    </row>
    <row r="395" spans="1:16" x14ac:dyDescent="0.45">
      <c r="A395" t="s">
        <v>2109</v>
      </c>
      <c r="B395" t="b">
        <f>IF(COUNTIF($D56:$D394, D395) &gt; 1, "")</f>
        <v>0</v>
      </c>
      <c r="C395" s="2">
        <v>103187748</v>
      </c>
      <c r="D395" t="s">
        <v>1969</v>
      </c>
      <c r="E395" t="s">
        <v>21</v>
      </c>
      <c r="F395" t="s">
        <v>1421</v>
      </c>
      <c r="G395" t="s">
        <v>97</v>
      </c>
      <c r="H395" t="s">
        <v>1970</v>
      </c>
      <c r="I395" t="s">
        <v>1971</v>
      </c>
      <c r="J395" t="s">
        <v>2391</v>
      </c>
      <c r="K395" t="s">
        <v>2391</v>
      </c>
      <c r="L395" t="s">
        <v>1424</v>
      </c>
      <c r="M395" t="s">
        <v>1424</v>
      </c>
      <c r="N395" t="b">
        <v>1</v>
      </c>
      <c r="O395" t="b">
        <v>1</v>
      </c>
      <c r="P395" t="b">
        <v>0</v>
      </c>
    </row>
    <row r="396" spans="1:16" x14ac:dyDescent="0.45">
      <c r="A396" t="s">
        <v>2109</v>
      </c>
      <c r="B396" t="b">
        <f>IF(COUNTIF($D57:$D395, D396) &gt; 1, "")</f>
        <v>0</v>
      </c>
      <c r="C396" s="2">
        <v>103187629</v>
      </c>
      <c r="D396" t="s">
        <v>1972</v>
      </c>
      <c r="E396" t="s">
        <v>21</v>
      </c>
      <c r="F396" t="s">
        <v>1173</v>
      </c>
      <c r="G396" t="s">
        <v>1174</v>
      </c>
      <c r="H396" t="s">
        <v>1175</v>
      </c>
      <c r="I396" t="s">
        <v>1176</v>
      </c>
      <c r="J396" t="s">
        <v>2339</v>
      </c>
      <c r="K396" t="s">
        <v>2511</v>
      </c>
      <c r="L396" t="s">
        <v>1177</v>
      </c>
      <c r="M396" t="s">
        <v>1973</v>
      </c>
      <c r="N396" t="b">
        <v>1</v>
      </c>
      <c r="O396" t="b">
        <v>1</v>
      </c>
      <c r="P396" t="b">
        <v>0</v>
      </c>
    </row>
    <row r="397" spans="1:16" x14ac:dyDescent="0.45">
      <c r="A397" t="s">
        <v>2109</v>
      </c>
      <c r="B397" t="b">
        <f>IF(COUNTIF($D58:$D396, D397) &gt; 1, "")</f>
        <v>0</v>
      </c>
      <c r="C397" s="2">
        <v>103187452</v>
      </c>
      <c r="D397" t="s">
        <v>1974</v>
      </c>
      <c r="E397" t="s">
        <v>21</v>
      </c>
      <c r="F397" t="s">
        <v>1779</v>
      </c>
      <c r="G397" t="s">
        <v>1388</v>
      </c>
      <c r="H397" t="s">
        <v>1975</v>
      </c>
      <c r="I397" t="s">
        <v>1976</v>
      </c>
      <c r="J397" t="s">
        <v>2512</v>
      </c>
      <c r="K397" t="s">
        <v>2512</v>
      </c>
      <c r="L397" t="s">
        <v>1977</v>
      </c>
      <c r="M397" t="s">
        <v>1977</v>
      </c>
      <c r="N397" t="b">
        <v>1</v>
      </c>
      <c r="O397" t="b">
        <v>1</v>
      </c>
      <c r="P397" t="b">
        <v>0</v>
      </c>
    </row>
    <row r="398" spans="1:16" x14ac:dyDescent="0.45">
      <c r="A398" t="s">
        <v>2109</v>
      </c>
      <c r="B398" t="b">
        <f>IF(COUNTIF($D59:$D397, D398) &gt; 1, "")</f>
        <v>0</v>
      </c>
      <c r="C398" s="2">
        <v>103186101</v>
      </c>
      <c r="D398" t="s">
        <v>690</v>
      </c>
      <c r="E398" t="s">
        <v>21</v>
      </c>
      <c r="F398" t="s">
        <v>691</v>
      </c>
      <c r="G398" t="s">
        <v>692</v>
      </c>
      <c r="H398" t="s">
        <v>693</v>
      </c>
      <c r="I398" t="s">
        <v>694</v>
      </c>
      <c r="J398" t="s">
        <v>2238</v>
      </c>
      <c r="K398" t="s">
        <v>2238</v>
      </c>
      <c r="L398" t="s">
        <v>695</v>
      </c>
      <c r="M398" t="s">
        <v>695</v>
      </c>
      <c r="N398" t="b">
        <v>1</v>
      </c>
      <c r="O398" t="b">
        <v>1</v>
      </c>
      <c r="P398" t="b">
        <v>0</v>
      </c>
    </row>
    <row r="399" spans="1:16" x14ac:dyDescent="0.45">
      <c r="A399" t="s">
        <v>2109</v>
      </c>
      <c r="B399" t="b">
        <f>IF(COUNTIF($D60:$D398, D399) &gt; 1, "")</f>
        <v>0</v>
      </c>
      <c r="C399" s="2">
        <v>103186015</v>
      </c>
      <c r="D399" t="s">
        <v>1978</v>
      </c>
      <c r="E399" t="s">
        <v>21</v>
      </c>
      <c r="F399" t="s">
        <v>622</v>
      </c>
      <c r="G399" t="s">
        <v>623</v>
      </c>
      <c r="H399" t="s">
        <v>1979</v>
      </c>
      <c r="I399" t="s">
        <v>1980</v>
      </c>
      <c r="J399">
        <v>1050995297</v>
      </c>
      <c r="K399" t="s">
        <v>2225</v>
      </c>
      <c r="L399" t="s">
        <v>626</v>
      </c>
      <c r="M399" t="s">
        <v>626</v>
      </c>
      <c r="N399" t="b">
        <v>1</v>
      </c>
      <c r="O399" t="b">
        <v>1</v>
      </c>
      <c r="P399" t="b">
        <v>0</v>
      </c>
    </row>
    <row r="400" spans="1:16" x14ac:dyDescent="0.45">
      <c r="A400" t="s">
        <v>2109</v>
      </c>
      <c r="B400" t="b">
        <f>IF(COUNTIF($D61:$D399, D400) &gt; 1, "")</f>
        <v>0</v>
      </c>
      <c r="C400" s="2">
        <v>103185790</v>
      </c>
      <c r="D400" t="s">
        <v>669</v>
      </c>
      <c r="E400" t="s">
        <v>21</v>
      </c>
      <c r="F400" t="s">
        <v>670</v>
      </c>
      <c r="G400" t="s">
        <v>277</v>
      </c>
      <c r="H400" t="s">
        <v>671</v>
      </c>
      <c r="I400" t="s">
        <v>672</v>
      </c>
      <c r="J400" t="s">
        <v>2234</v>
      </c>
      <c r="K400" t="s">
        <v>2234</v>
      </c>
      <c r="L400" t="s">
        <v>673</v>
      </c>
      <c r="M400" t="s">
        <v>673</v>
      </c>
      <c r="N400" t="b">
        <v>1</v>
      </c>
      <c r="O400" t="b">
        <v>1</v>
      </c>
      <c r="P400" t="b">
        <v>0</v>
      </c>
    </row>
    <row r="401" spans="1:16" x14ac:dyDescent="0.45">
      <c r="A401" t="s">
        <v>2109</v>
      </c>
      <c r="B401" t="b">
        <f>IF(COUNTIF($D62:$D400, D401) &gt; 1, "")</f>
        <v>0</v>
      </c>
      <c r="C401" s="2">
        <v>103185290</v>
      </c>
      <c r="D401" t="s">
        <v>1313</v>
      </c>
      <c r="E401" t="s">
        <v>21</v>
      </c>
      <c r="F401" t="s">
        <v>1314</v>
      </c>
      <c r="G401" t="s">
        <v>1315</v>
      </c>
      <c r="H401" t="s">
        <v>1316</v>
      </c>
      <c r="I401" t="s">
        <v>1317</v>
      </c>
      <c r="J401" t="s">
        <v>2368</v>
      </c>
      <c r="K401" t="s">
        <v>2368</v>
      </c>
      <c r="L401" t="s">
        <v>1318</v>
      </c>
      <c r="M401" t="s">
        <v>1318</v>
      </c>
      <c r="N401" t="b">
        <v>1</v>
      </c>
      <c r="O401" t="b">
        <v>1</v>
      </c>
      <c r="P401" t="b">
        <v>0</v>
      </c>
    </row>
    <row r="402" spans="1:16" x14ac:dyDescent="0.45">
      <c r="A402" t="s">
        <v>2109</v>
      </c>
      <c r="B402" t="b">
        <f>IF(COUNTIF($D63:$D401, D402) &gt; 1, "")</f>
        <v>0</v>
      </c>
      <c r="C402" s="2">
        <v>103185011</v>
      </c>
      <c r="D402" t="s">
        <v>1156</v>
      </c>
      <c r="E402" t="s">
        <v>21</v>
      </c>
      <c r="F402" t="s">
        <v>1157</v>
      </c>
      <c r="G402" t="s">
        <v>1158</v>
      </c>
      <c r="H402" t="s">
        <v>1159</v>
      </c>
      <c r="I402" t="s">
        <v>1160</v>
      </c>
      <c r="J402" t="s">
        <v>2336</v>
      </c>
      <c r="K402" t="s">
        <v>2336</v>
      </c>
      <c r="L402" t="s">
        <v>1161</v>
      </c>
      <c r="M402" t="s">
        <v>1161</v>
      </c>
      <c r="N402" t="b">
        <v>1</v>
      </c>
      <c r="O402" t="b">
        <v>1</v>
      </c>
      <c r="P402" t="b">
        <v>0</v>
      </c>
    </row>
    <row r="403" spans="1:16" x14ac:dyDescent="0.45">
      <c r="A403" t="s">
        <v>2109</v>
      </c>
      <c r="B403" t="b">
        <f>IF(COUNTIF($D64:$D402, D403) &gt; 1, "")</f>
        <v>0</v>
      </c>
      <c r="C403" s="2">
        <v>103184907</v>
      </c>
      <c r="D403" t="s">
        <v>1981</v>
      </c>
      <c r="E403" t="s">
        <v>21</v>
      </c>
      <c r="F403" t="s">
        <v>834</v>
      </c>
      <c r="G403" t="s">
        <v>835</v>
      </c>
      <c r="H403" t="s">
        <v>1982</v>
      </c>
      <c r="I403" t="s">
        <v>1983</v>
      </c>
      <c r="J403" t="s">
        <v>2513</v>
      </c>
      <c r="K403" t="s">
        <v>2513</v>
      </c>
      <c r="L403" t="s">
        <v>1984</v>
      </c>
      <c r="M403" t="s">
        <v>1984</v>
      </c>
      <c r="N403" t="b">
        <v>1</v>
      </c>
      <c r="O403" t="b">
        <v>1</v>
      </c>
      <c r="P403" t="b">
        <v>0</v>
      </c>
    </row>
    <row r="404" spans="1:16" x14ac:dyDescent="0.45">
      <c r="A404" t="s">
        <v>2109</v>
      </c>
      <c r="B404" t="b">
        <f>IF(COUNTIF($D65:$D403, D404) &gt; 1, "")</f>
        <v>0</v>
      </c>
      <c r="C404" s="2">
        <v>103184616</v>
      </c>
      <c r="D404" t="s">
        <v>642</v>
      </c>
      <c r="E404" t="s">
        <v>21</v>
      </c>
      <c r="F404" t="s">
        <v>643</v>
      </c>
      <c r="G404" t="s">
        <v>644</v>
      </c>
      <c r="H404" t="s">
        <v>645</v>
      </c>
      <c r="I404" t="s">
        <v>646</v>
      </c>
      <c r="J404" t="s">
        <v>2228</v>
      </c>
      <c r="K404" t="s">
        <v>2228</v>
      </c>
      <c r="L404" t="s">
        <v>647</v>
      </c>
      <c r="M404" t="s">
        <v>647</v>
      </c>
      <c r="N404" t="b">
        <v>1</v>
      </c>
      <c r="O404" t="b">
        <v>1</v>
      </c>
      <c r="P404" t="b">
        <v>0</v>
      </c>
    </row>
    <row r="405" spans="1:16" x14ac:dyDescent="0.45">
      <c r="A405" t="s">
        <v>2109</v>
      </c>
      <c r="B405" t="b">
        <f>IF(COUNTIF($D66:$D404, D405) &gt; 1, "")</f>
        <v>0</v>
      </c>
      <c r="C405" s="2">
        <v>103182312</v>
      </c>
      <c r="D405" t="s">
        <v>1178</v>
      </c>
      <c r="E405" t="s">
        <v>21</v>
      </c>
      <c r="F405" t="s">
        <v>1179</v>
      </c>
      <c r="G405" t="s">
        <v>1180</v>
      </c>
      <c r="H405" t="s">
        <v>1181</v>
      </c>
      <c r="I405" t="s">
        <v>1182</v>
      </c>
      <c r="J405" t="s">
        <v>2340</v>
      </c>
      <c r="K405" t="s">
        <v>2341</v>
      </c>
      <c r="L405" t="s">
        <v>1183</v>
      </c>
      <c r="M405" t="s">
        <v>1184</v>
      </c>
      <c r="N405" t="b">
        <v>1</v>
      </c>
      <c r="O405" t="b">
        <v>1</v>
      </c>
      <c r="P405" t="b">
        <v>0</v>
      </c>
    </row>
    <row r="406" spans="1:16" x14ac:dyDescent="0.45">
      <c r="A406" t="s">
        <v>2109</v>
      </c>
      <c r="B406" t="b">
        <f>IF(COUNTIF($D67:$D405, D406) &gt; 1, "")</f>
        <v>0</v>
      </c>
      <c r="C406" s="2">
        <v>103181918</v>
      </c>
      <c r="D406" t="s">
        <v>1985</v>
      </c>
      <c r="E406" t="s">
        <v>21</v>
      </c>
      <c r="F406" t="s">
        <v>1986</v>
      </c>
      <c r="G406" t="s">
        <v>879</v>
      </c>
      <c r="H406" t="s">
        <v>1987</v>
      </c>
      <c r="I406" t="s">
        <v>1988</v>
      </c>
      <c r="J406" t="s">
        <v>2514</v>
      </c>
      <c r="K406" t="s">
        <v>2514</v>
      </c>
      <c r="L406" t="s">
        <v>1989</v>
      </c>
      <c r="M406" t="s">
        <v>1989</v>
      </c>
      <c r="N406" t="b">
        <v>1</v>
      </c>
      <c r="O406" t="b">
        <v>1</v>
      </c>
      <c r="P406" t="b">
        <v>0</v>
      </c>
    </row>
    <row r="407" spans="1:16" x14ac:dyDescent="0.45">
      <c r="A407" t="s">
        <v>2109</v>
      </c>
      <c r="B407" t="b">
        <f>IF(COUNTIF($D68:$D406, D407) &gt; 1, "")</f>
        <v>0</v>
      </c>
      <c r="C407" s="2">
        <v>103181722</v>
      </c>
      <c r="D407" t="s">
        <v>1279</v>
      </c>
      <c r="E407" t="s">
        <v>21</v>
      </c>
      <c r="F407" t="s">
        <v>1280</v>
      </c>
      <c r="G407" t="s">
        <v>1281</v>
      </c>
      <c r="H407" t="s">
        <v>1282</v>
      </c>
      <c r="I407" t="s">
        <v>1283</v>
      </c>
      <c r="J407" t="s">
        <v>2361</v>
      </c>
      <c r="K407" t="s">
        <v>2361</v>
      </c>
      <c r="L407" t="s">
        <v>1284</v>
      </c>
      <c r="M407" t="s">
        <v>1284</v>
      </c>
      <c r="N407" t="b">
        <v>1</v>
      </c>
      <c r="O407" t="b">
        <v>1</v>
      </c>
      <c r="P407" t="b">
        <v>0</v>
      </c>
    </row>
    <row r="408" spans="1:16" x14ac:dyDescent="0.45">
      <c r="A408" t="s">
        <v>2109</v>
      </c>
      <c r="B408" t="b">
        <f>IF(COUNTIF($D69:$D407, D408) &gt; 1, "")</f>
        <v>0</v>
      </c>
      <c r="C408" s="2">
        <v>103181329</v>
      </c>
      <c r="D408" t="s">
        <v>1990</v>
      </c>
      <c r="E408" t="s">
        <v>21</v>
      </c>
      <c r="F408" t="s">
        <v>967</v>
      </c>
      <c r="G408" t="s">
        <v>968</v>
      </c>
      <c r="H408" t="s">
        <v>969</v>
      </c>
      <c r="I408" t="s">
        <v>970</v>
      </c>
      <c r="J408" t="s">
        <v>2295</v>
      </c>
      <c r="K408">
        <v>1084828330</v>
      </c>
      <c r="L408" t="s">
        <v>971</v>
      </c>
      <c r="M408" t="s">
        <v>972</v>
      </c>
      <c r="N408" t="b">
        <v>1</v>
      </c>
      <c r="O408" t="b">
        <v>1</v>
      </c>
      <c r="P408" t="b">
        <v>0</v>
      </c>
    </row>
    <row r="409" spans="1:16" x14ac:dyDescent="0.45">
      <c r="A409" t="s">
        <v>2109</v>
      </c>
      <c r="B409" t="b">
        <f>IF(COUNTIF($D70:$D408, D409) &gt; 1, "")</f>
        <v>0</v>
      </c>
      <c r="C409" s="2">
        <v>103181114</v>
      </c>
      <c r="D409" t="s">
        <v>1991</v>
      </c>
      <c r="E409" t="s">
        <v>21</v>
      </c>
      <c r="F409" t="s">
        <v>801</v>
      </c>
      <c r="G409" t="s">
        <v>311</v>
      </c>
      <c r="H409" t="s">
        <v>802</v>
      </c>
      <c r="I409" t="s">
        <v>803</v>
      </c>
      <c r="J409" t="s">
        <v>2259</v>
      </c>
      <c r="K409" t="s">
        <v>2260</v>
      </c>
      <c r="L409" t="s">
        <v>804</v>
      </c>
      <c r="M409" t="s">
        <v>805</v>
      </c>
      <c r="N409" t="b">
        <v>1</v>
      </c>
      <c r="O409" t="b">
        <v>1</v>
      </c>
      <c r="P409" t="b">
        <v>0</v>
      </c>
    </row>
    <row r="410" spans="1:16" x14ac:dyDescent="0.45">
      <c r="A410" t="s">
        <v>2109</v>
      </c>
      <c r="B410" t="str">
        <f>IF(COUNTIF($D71:$D409, D410) &gt; 1, "")</f>
        <v/>
      </c>
      <c r="C410" s="2">
        <v>103178416</v>
      </c>
      <c r="D410" t="s">
        <v>1022</v>
      </c>
      <c r="E410" t="s">
        <v>21</v>
      </c>
      <c r="F410" t="s">
        <v>1023</v>
      </c>
      <c r="G410" t="s">
        <v>15</v>
      </c>
      <c r="H410" t="s">
        <v>1024</v>
      </c>
      <c r="I410" t="s">
        <v>1025</v>
      </c>
      <c r="J410" t="s">
        <v>2309</v>
      </c>
      <c r="K410" t="s">
        <v>2309</v>
      </c>
      <c r="L410" t="s">
        <v>1026</v>
      </c>
      <c r="M410" t="s">
        <v>1026</v>
      </c>
      <c r="N410" t="b">
        <v>1</v>
      </c>
      <c r="O410" t="b">
        <v>1</v>
      </c>
      <c r="P410" t="b">
        <v>0</v>
      </c>
    </row>
    <row r="411" spans="1:16" x14ac:dyDescent="0.45">
      <c r="A411" t="s">
        <v>2109</v>
      </c>
      <c r="B411" t="b">
        <f>IF(COUNTIF($D72:$D410, D411) &gt; 1, "")</f>
        <v>0</v>
      </c>
      <c r="C411" s="2">
        <v>103178287</v>
      </c>
      <c r="D411" t="s">
        <v>1397</v>
      </c>
      <c r="E411" t="s">
        <v>21</v>
      </c>
      <c r="F411" t="s">
        <v>1398</v>
      </c>
      <c r="G411" t="s">
        <v>1399</v>
      </c>
      <c r="H411" t="s">
        <v>1400</v>
      </c>
      <c r="I411" t="s">
        <v>1401</v>
      </c>
      <c r="J411" t="s">
        <v>2386</v>
      </c>
      <c r="K411" t="s">
        <v>2386</v>
      </c>
      <c r="L411" t="s">
        <v>1402</v>
      </c>
      <c r="M411" t="s">
        <v>1402</v>
      </c>
      <c r="N411" t="b">
        <v>1</v>
      </c>
      <c r="O411" t="b">
        <v>1</v>
      </c>
      <c r="P411" t="b">
        <v>0</v>
      </c>
    </row>
    <row r="412" spans="1:16" x14ac:dyDescent="0.45">
      <c r="A412" t="s">
        <v>2109</v>
      </c>
      <c r="B412" t="b">
        <f>IF(COUNTIF($D73:$D411, D412) &gt; 1, "")</f>
        <v>0</v>
      </c>
      <c r="C412" s="2">
        <v>103173839</v>
      </c>
      <c r="D412" t="s">
        <v>1992</v>
      </c>
      <c r="E412" t="s">
        <v>21</v>
      </c>
      <c r="F412" t="s">
        <v>1112</v>
      </c>
      <c r="G412" t="s">
        <v>557</v>
      </c>
      <c r="H412" t="s">
        <v>1113</v>
      </c>
      <c r="I412" t="s">
        <v>1114</v>
      </c>
      <c r="J412" t="s">
        <v>2324</v>
      </c>
      <c r="K412" t="s">
        <v>2324</v>
      </c>
      <c r="L412" t="s">
        <v>1115</v>
      </c>
      <c r="M412" t="s">
        <v>1115</v>
      </c>
      <c r="N412" t="b">
        <v>1</v>
      </c>
      <c r="O412" t="b">
        <v>1</v>
      </c>
      <c r="P412" t="b">
        <v>0</v>
      </c>
    </row>
    <row r="413" spans="1:16" x14ac:dyDescent="0.45">
      <c r="A413" t="s">
        <v>2109</v>
      </c>
      <c r="B413" t="b">
        <f>IF(COUNTIF($D74:$D412, D413) &gt; 1, "")</f>
        <v>0</v>
      </c>
      <c r="C413" s="2">
        <v>103173735</v>
      </c>
      <c r="D413" t="s">
        <v>1993</v>
      </c>
      <c r="E413" t="s">
        <v>21</v>
      </c>
      <c r="F413" t="s">
        <v>774</v>
      </c>
      <c r="G413" t="s">
        <v>775</v>
      </c>
      <c r="H413" t="s">
        <v>776</v>
      </c>
      <c r="I413" t="s">
        <v>777</v>
      </c>
      <c r="J413" t="s">
        <v>2253</v>
      </c>
      <c r="K413" t="s">
        <v>2253</v>
      </c>
      <c r="L413" t="s">
        <v>778</v>
      </c>
      <c r="M413" t="s">
        <v>778</v>
      </c>
      <c r="N413" t="b">
        <v>1</v>
      </c>
      <c r="O413" t="b">
        <v>1</v>
      </c>
      <c r="P413" t="b">
        <v>0</v>
      </c>
    </row>
    <row r="414" spans="1:16" x14ac:dyDescent="0.45">
      <c r="A414" t="s">
        <v>2109</v>
      </c>
      <c r="B414" t="str">
        <f>IF(COUNTIF($D75:$D413, D414) &gt; 1, "")</f>
        <v/>
      </c>
      <c r="C414" s="2">
        <v>103171019</v>
      </c>
      <c r="D414" t="s">
        <v>1520</v>
      </c>
      <c r="E414" t="s">
        <v>21</v>
      </c>
      <c r="F414" t="s">
        <v>1521</v>
      </c>
      <c r="G414" t="s">
        <v>724</v>
      </c>
      <c r="H414" t="s">
        <v>1522</v>
      </c>
      <c r="I414" t="s">
        <v>1523</v>
      </c>
      <c r="J414" t="s">
        <v>2416</v>
      </c>
      <c r="K414" t="s">
        <v>2417</v>
      </c>
      <c r="L414" t="s">
        <v>1524</v>
      </c>
      <c r="M414" t="s">
        <v>1525</v>
      </c>
      <c r="N414" t="b">
        <v>1</v>
      </c>
      <c r="O414" t="b">
        <v>1</v>
      </c>
      <c r="P414" t="b">
        <v>0</v>
      </c>
    </row>
    <row r="415" spans="1:16" x14ac:dyDescent="0.45">
      <c r="A415" t="s">
        <v>2109</v>
      </c>
      <c r="B415" t="b">
        <f>IF(COUNTIF($D76:$D414, D415) &gt; 1, "")</f>
        <v>0</v>
      </c>
      <c r="C415" s="2">
        <v>103164685</v>
      </c>
      <c r="D415" t="s">
        <v>1994</v>
      </c>
      <c r="E415" t="s">
        <v>21</v>
      </c>
      <c r="F415" t="s">
        <v>1068</v>
      </c>
      <c r="G415" t="s">
        <v>114</v>
      </c>
      <c r="H415" t="s">
        <v>1995</v>
      </c>
      <c r="I415" t="s">
        <v>1996</v>
      </c>
      <c r="J415" t="s">
        <v>2515</v>
      </c>
      <c r="K415" t="s">
        <v>2112</v>
      </c>
      <c r="L415" t="s">
        <v>1997</v>
      </c>
      <c r="M415" t="s">
        <v>18</v>
      </c>
      <c r="N415" t="b">
        <v>1</v>
      </c>
      <c r="O415" t="b">
        <v>1</v>
      </c>
      <c r="P415" t="b">
        <v>0</v>
      </c>
    </row>
    <row r="416" spans="1:16" x14ac:dyDescent="0.45">
      <c r="A416" t="s">
        <v>2109</v>
      </c>
      <c r="B416" t="b">
        <f>IF(COUNTIF($D77:$D415, D416) &gt; 1, "")</f>
        <v>0</v>
      </c>
      <c r="C416" s="2">
        <v>103162802</v>
      </c>
      <c r="D416" t="s">
        <v>1074</v>
      </c>
      <c r="E416" t="s">
        <v>21</v>
      </c>
      <c r="F416" t="s">
        <v>1075</v>
      </c>
      <c r="G416" t="s">
        <v>1076</v>
      </c>
      <c r="H416" t="s">
        <v>2549</v>
      </c>
      <c r="I416" t="s">
        <v>1998</v>
      </c>
      <c r="J416" t="s">
        <v>2319</v>
      </c>
      <c r="K416" t="s">
        <v>2319</v>
      </c>
      <c r="L416" t="s">
        <v>1079</v>
      </c>
      <c r="M416" t="s">
        <v>1079</v>
      </c>
      <c r="N416" t="b">
        <v>1</v>
      </c>
      <c r="O416" t="b">
        <v>1</v>
      </c>
      <c r="P416" t="b">
        <v>0</v>
      </c>
    </row>
    <row r="417" spans="1:16" x14ac:dyDescent="0.45">
      <c r="A417" t="s">
        <v>2109</v>
      </c>
      <c r="B417" t="b">
        <f>IF(COUNTIF($D78:$D416, D417) &gt; 1, "")</f>
        <v>0</v>
      </c>
      <c r="C417" s="2">
        <v>103162749</v>
      </c>
      <c r="D417" t="s">
        <v>1530</v>
      </c>
      <c r="E417" t="s">
        <v>21</v>
      </c>
      <c r="F417" t="s">
        <v>801</v>
      </c>
      <c r="G417" t="s">
        <v>311</v>
      </c>
      <c r="H417" t="s">
        <v>1999</v>
      </c>
      <c r="I417" t="s">
        <v>2000</v>
      </c>
      <c r="J417" t="s">
        <v>2420</v>
      </c>
      <c r="K417" t="s">
        <v>2420</v>
      </c>
      <c r="L417" t="s">
        <v>1533</v>
      </c>
      <c r="M417" t="s">
        <v>1533</v>
      </c>
      <c r="N417" t="b">
        <v>1</v>
      </c>
      <c r="O417" t="b">
        <v>1</v>
      </c>
      <c r="P417" t="b">
        <v>0</v>
      </c>
    </row>
    <row r="418" spans="1:16" x14ac:dyDescent="0.45">
      <c r="A418" t="s">
        <v>2109</v>
      </c>
      <c r="B418" t="b">
        <f>IF(COUNTIF($D79:$D417, D418) &gt; 1, "")</f>
        <v>0</v>
      </c>
      <c r="C418" s="2">
        <v>103162635</v>
      </c>
      <c r="D418" t="s">
        <v>1737</v>
      </c>
      <c r="E418" t="s">
        <v>21</v>
      </c>
      <c r="F418" t="s">
        <v>2001</v>
      </c>
      <c r="G418" t="s">
        <v>2002</v>
      </c>
      <c r="H418" t="s">
        <v>2003</v>
      </c>
      <c r="I418" t="s">
        <v>2004</v>
      </c>
      <c r="J418" t="s">
        <v>2374</v>
      </c>
      <c r="K418">
        <v>519292100</v>
      </c>
      <c r="L418" t="s">
        <v>1341</v>
      </c>
      <c r="M418" t="s">
        <v>1341</v>
      </c>
      <c r="N418" t="b">
        <v>1</v>
      </c>
      <c r="O418" t="b">
        <v>1</v>
      </c>
      <c r="P418" t="b">
        <v>0</v>
      </c>
    </row>
    <row r="419" spans="1:16" x14ac:dyDescent="0.45">
      <c r="A419" t="s">
        <v>2109</v>
      </c>
      <c r="B419" t="b">
        <f>IF(COUNTIF($D80:$D418, D419) &gt; 1, "")</f>
        <v>0</v>
      </c>
      <c r="C419" s="2">
        <v>103155925</v>
      </c>
      <c r="D419" t="s">
        <v>674</v>
      </c>
      <c r="E419" t="s">
        <v>21</v>
      </c>
      <c r="F419" t="s">
        <v>675</v>
      </c>
      <c r="G419" t="s">
        <v>146</v>
      </c>
      <c r="H419" t="s">
        <v>2005</v>
      </c>
      <c r="I419" t="s">
        <v>2006</v>
      </c>
      <c r="J419" t="s">
        <v>2235</v>
      </c>
      <c r="K419" t="s">
        <v>2235</v>
      </c>
      <c r="L419" t="s">
        <v>678</v>
      </c>
      <c r="M419" t="s">
        <v>678</v>
      </c>
      <c r="N419" t="b">
        <v>1</v>
      </c>
      <c r="O419" t="b">
        <v>1</v>
      </c>
      <c r="P419" t="b">
        <v>0</v>
      </c>
    </row>
    <row r="420" spans="1:16" x14ac:dyDescent="0.45">
      <c r="A420" t="s">
        <v>2109</v>
      </c>
      <c r="B420" t="b">
        <f>IF(COUNTIF($D81:$D419, D420) &gt; 1, "")</f>
        <v>0</v>
      </c>
      <c r="C420" s="2">
        <v>103151763</v>
      </c>
      <c r="D420" t="s">
        <v>2007</v>
      </c>
      <c r="E420" t="s">
        <v>21</v>
      </c>
      <c r="F420" t="s">
        <v>1625</v>
      </c>
      <c r="G420" t="s">
        <v>611</v>
      </c>
      <c r="H420" t="s">
        <v>2008</v>
      </c>
      <c r="I420" t="s">
        <v>2009</v>
      </c>
      <c r="J420" t="s">
        <v>2516</v>
      </c>
      <c r="K420" t="s">
        <v>2516</v>
      </c>
      <c r="L420" t="s">
        <v>2010</v>
      </c>
      <c r="M420" t="s">
        <v>2010</v>
      </c>
      <c r="N420" t="b">
        <v>1</v>
      </c>
      <c r="O420" t="b">
        <v>1</v>
      </c>
      <c r="P420" t="b">
        <v>0</v>
      </c>
    </row>
    <row r="421" spans="1:16" x14ac:dyDescent="0.45">
      <c r="A421" t="s">
        <v>2109</v>
      </c>
      <c r="B421" t="b">
        <f>IF(COUNTIF($D82:$D420, D421) &gt; 1, "")</f>
        <v>0</v>
      </c>
      <c r="C421" s="2">
        <v>103151715</v>
      </c>
      <c r="D421" t="s">
        <v>1364</v>
      </c>
      <c r="E421" t="s">
        <v>21</v>
      </c>
      <c r="F421" t="s">
        <v>1365</v>
      </c>
      <c r="G421" t="s">
        <v>60</v>
      </c>
      <c r="H421" t="s">
        <v>1366</v>
      </c>
      <c r="I421" t="s">
        <v>1367</v>
      </c>
      <c r="J421" t="s">
        <v>2379</v>
      </c>
      <c r="K421" t="s">
        <v>2379</v>
      </c>
      <c r="L421" t="s">
        <v>1368</v>
      </c>
      <c r="M421" t="s">
        <v>1368</v>
      </c>
      <c r="N421" t="b">
        <v>1</v>
      </c>
      <c r="O421" t="b">
        <v>1</v>
      </c>
      <c r="P421" t="b">
        <v>0</v>
      </c>
    </row>
    <row r="422" spans="1:16" x14ac:dyDescent="0.45">
      <c r="A422" t="s">
        <v>2109</v>
      </c>
      <c r="B422" t="b">
        <f>IF(COUNTIF($D83:$D421, D422) &gt; 1, "")</f>
        <v>0</v>
      </c>
      <c r="C422" s="2">
        <v>103151361</v>
      </c>
      <c r="D422" t="s">
        <v>2011</v>
      </c>
      <c r="E422" t="s">
        <v>21</v>
      </c>
      <c r="F422" t="s">
        <v>1481</v>
      </c>
      <c r="G422" t="s">
        <v>251</v>
      </c>
      <c r="H422" t="s">
        <v>2012</v>
      </c>
      <c r="I422" t="s">
        <v>2013</v>
      </c>
      <c r="J422" t="s">
        <v>2406</v>
      </c>
      <c r="K422" t="s">
        <v>2406</v>
      </c>
      <c r="L422" t="s">
        <v>1484</v>
      </c>
      <c r="M422" t="s">
        <v>1484</v>
      </c>
      <c r="N422" t="b">
        <v>1</v>
      </c>
      <c r="O422" t="b">
        <v>1</v>
      </c>
      <c r="P422" t="b">
        <v>0</v>
      </c>
    </row>
    <row r="423" spans="1:16" x14ac:dyDescent="0.45">
      <c r="A423" t="s">
        <v>2109</v>
      </c>
      <c r="B423" t="b">
        <f>IF(COUNTIF($D84:$D422, D423) &gt; 1, "")</f>
        <v>0</v>
      </c>
      <c r="C423" s="2">
        <v>103151103</v>
      </c>
      <c r="D423" t="s">
        <v>732</v>
      </c>
      <c r="E423" t="s">
        <v>21</v>
      </c>
      <c r="F423" t="s">
        <v>733</v>
      </c>
      <c r="G423" t="s">
        <v>490</v>
      </c>
      <c r="H423" t="s">
        <v>734</v>
      </c>
      <c r="I423" t="s">
        <v>735</v>
      </c>
      <c r="J423" t="s">
        <v>2245</v>
      </c>
      <c r="K423" t="s">
        <v>2245</v>
      </c>
      <c r="L423" t="s">
        <v>736</v>
      </c>
      <c r="M423" t="s">
        <v>736</v>
      </c>
      <c r="N423" t="b">
        <v>1</v>
      </c>
      <c r="O423" t="b">
        <v>1</v>
      </c>
      <c r="P423" t="b">
        <v>0</v>
      </c>
    </row>
    <row r="424" spans="1:16" x14ac:dyDescent="0.45">
      <c r="A424" t="s">
        <v>2109</v>
      </c>
      <c r="B424" t="b">
        <f>IF(COUNTIF($D85:$D423, D424) &gt; 1, "")</f>
        <v>0</v>
      </c>
      <c r="C424" s="2">
        <v>103150925</v>
      </c>
      <c r="D424" t="s">
        <v>973</v>
      </c>
      <c r="E424" t="s">
        <v>21</v>
      </c>
      <c r="F424" t="s">
        <v>134</v>
      </c>
      <c r="G424" t="s">
        <v>129</v>
      </c>
      <c r="H424" t="s">
        <v>2014</v>
      </c>
      <c r="I424" t="s">
        <v>2015</v>
      </c>
      <c r="J424" t="s">
        <v>2517</v>
      </c>
      <c r="K424" t="s">
        <v>2517</v>
      </c>
      <c r="L424" t="s">
        <v>2016</v>
      </c>
      <c r="M424" t="s">
        <v>2016</v>
      </c>
      <c r="N424" t="b">
        <v>1</v>
      </c>
      <c r="O424" t="b">
        <v>1</v>
      </c>
      <c r="P424" t="b">
        <v>0</v>
      </c>
    </row>
    <row r="425" spans="1:16" x14ac:dyDescent="0.45">
      <c r="A425" t="s">
        <v>2109</v>
      </c>
      <c r="B425" t="b">
        <f>IF(COUNTIF($D86:$D424, D425) &gt; 1, "")</f>
        <v>0</v>
      </c>
      <c r="C425" s="2">
        <v>103150809</v>
      </c>
      <c r="D425" t="s">
        <v>2550</v>
      </c>
      <c r="E425" t="s">
        <v>21</v>
      </c>
      <c r="F425" t="s">
        <v>2017</v>
      </c>
      <c r="G425" t="s">
        <v>207</v>
      </c>
      <c r="H425" t="s">
        <v>2018</v>
      </c>
      <c r="I425" t="s">
        <v>2019</v>
      </c>
      <c r="J425" t="s">
        <v>2446</v>
      </c>
      <c r="K425" t="s">
        <v>2446</v>
      </c>
      <c r="L425" t="s">
        <v>1635</v>
      </c>
      <c r="M425" t="s">
        <v>1635</v>
      </c>
      <c r="N425" t="b">
        <v>1</v>
      </c>
      <c r="O425" t="b">
        <v>1</v>
      </c>
      <c r="P425" t="b">
        <v>0</v>
      </c>
    </row>
    <row r="426" spans="1:16" x14ac:dyDescent="0.45">
      <c r="A426" t="s">
        <v>2109</v>
      </c>
      <c r="B426" t="b">
        <f>IF(COUNTIF($D87:$D425, D426) &gt; 1, "")</f>
        <v>0</v>
      </c>
      <c r="C426" s="2">
        <v>103150484</v>
      </c>
      <c r="D426" t="s">
        <v>2020</v>
      </c>
      <c r="E426" t="s">
        <v>21</v>
      </c>
      <c r="F426" t="s">
        <v>817</v>
      </c>
      <c r="G426" t="s">
        <v>557</v>
      </c>
      <c r="H426" t="s">
        <v>818</v>
      </c>
      <c r="I426" t="s">
        <v>819</v>
      </c>
      <c r="J426" t="s">
        <v>2262</v>
      </c>
      <c r="K426">
        <v>7044640162</v>
      </c>
      <c r="L426" t="s">
        <v>820</v>
      </c>
      <c r="M426" t="s">
        <v>821</v>
      </c>
      <c r="N426" t="b">
        <v>1</v>
      </c>
      <c r="O426" t="b">
        <v>1</v>
      </c>
      <c r="P426" t="b">
        <v>0</v>
      </c>
    </row>
    <row r="427" spans="1:16" x14ac:dyDescent="0.45">
      <c r="A427" t="s">
        <v>2109</v>
      </c>
      <c r="B427" t="b">
        <f>IF(COUNTIF($D88:$D426, D427) &gt; 1, "")</f>
        <v>0</v>
      </c>
      <c r="C427" s="2">
        <v>103147379</v>
      </c>
      <c r="D427" t="s">
        <v>2021</v>
      </c>
      <c r="E427" t="s">
        <v>21</v>
      </c>
      <c r="F427" t="s">
        <v>2022</v>
      </c>
      <c r="G427" t="s">
        <v>311</v>
      </c>
      <c r="H427" t="s">
        <v>2023</v>
      </c>
      <c r="I427" t="s">
        <v>2024</v>
      </c>
      <c r="J427">
        <v>326752378</v>
      </c>
      <c r="K427" t="s">
        <v>2257</v>
      </c>
      <c r="L427" t="s">
        <v>515</v>
      </c>
      <c r="M427" t="s">
        <v>798</v>
      </c>
      <c r="N427" t="b">
        <v>1</v>
      </c>
      <c r="O427" t="b">
        <v>1</v>
      </c>
      <c r="P427" t="b">
        <v>0</v>
      </c>
    </row>
    <row r="428" spans="1:16" x14ac:dyDescent="0.45">
      <c r="A428" t="s">
        <v>2109</v>
      </c>
      <c r="B428" t="b">
        <f>IF(COUNTIF($D89:$D427, D428) &gt; 1, "")</f>
        <v>0</v>
      </c>
      <c r="C428" s="2">
        <v>103146177</v>
      </c>
      <c r="D428" t="s">
        <v>2025</v>
      </c>
      <c r="E428" t="s">
        <v>21</v>
      </c>
      <c r="F428" t="s">
        <v>2026</v>
      </c>
      <c r="G428" t="s">
        <v>2027</v>
      </c>
      <c r="H428" t="s">
        <v>2028</v>
      </c>
      <c r="I428" t="s">
        <v>2029</v>
      </c>
      <c r="J428" t="s">
        <v>2518</v>
      </c>
      <c r="K428" t="s">
        <v>2519</v>
      </c>
      <c r="L428" t="s">
        <v>2030</v>
      </c>
      <c r="M428" t="s">
        <v>2031</v>
      </c>
      <c r="N428" t="b">
        <v>1</v>
      </c>
      <c r="O428" t="b">
        <v>1</v>
      </c>
      <c r="P428" t="b">
        <v>0</v>
      </c>
    </row>
    <row r="429" spans="1:16" x14ac:dyDescent="0.45">
      <c r="A429" t="s">
        <v>2109</v>
      </c>
      <c r="B429" t="b">
        <f>IF(COUNTIF($D90:$D428, D429) &gt; 1, "")</f>
        <v>0</v>
      </c>
      <c r="C429" s="2">
        <v>103134996</v>
      </c>
      <c r="D429" t="s">
        <v>1374</v>
      </c>
      <c r="E429" t="s">
        <v>21</v>
      </c>
      <c r="F429" t="s">
        <v>2032</v>
      </c>
      <c r="G429" t="s">
        <v>228</v>
      </c>
      <c r="H429" t="s">
        <v>2033</v>
      </c>
      <c r="I429" t="s">
        <v>2034</v>
      </c>
      <c r="J429" t="s">
        <v>2520</v>
      </c>
      <c r="K429" t="s">
        <v>2520</v>
      </c>
      <c r="L429" t="s">
        <v>2035</v>
      </c>
      <c r="M429" t="s">
        <v>2035</v>
      </c>
      <c r="N429" t="b">
        <v>1</v>
      </c>
      <c r="O429" t="b">
        <v>1</v>
      </c>
      <c r="P429" t="b">
        <v>0</v>
      </c>
    </row>
    <row r="430" spans="1:16" x14ac:dyDescent="0.45">
      <c r="A430" t="s">
        <v>2109</v>
      </c>
      <c r="B430" t="b">
        <f>IF(COUNTIF($D91:$D429, D430) &gt; 1, "")</f>
        <v>0</v>
      </c>
      <c r="C430" s="2">
        <v>103134495</v>
      </c>
      <c r="D430" t="s">
        <v>2036</v>
      </c>
      <c r="E430" t="s">
        <v>21</v>
      </c>
      <c r="F430" t="s">
        <v>1360</v>
      </c>
      <c r="G430" t="s">
        <v>207</v>
      </c>
      <c r="H430" t="s">
        <v>1361</v>
      </c>
      <c r="I430" t="s">
        <v>1362</v>
      </c>
      <c r="J430" t="s">
        <v>2378</v>
      </c>
      <c r="K430" t="s">
        <v>2378</v>
      </c>
      <c r="L430" t="s">
        <v>1363</v>
      </c>
      <c r="M430" t="s">
        <v>1363</v>
      </c>
      <c r="N430" t="b">
        <v>1</v>
      </c>
      <c r="O430" t="b">
        <v>1</v>
      </c>
      <c r="P430" t="b">
        <v>0</v>
      </c>
    </row>
    <row r="431" spans="1:16" x14ac:dyDescent="0.45">
      <c r="A431" t="s">
        <v>2109</v>
      </c>
      <c r="B431" t="b">
        <f>IF(COUNTIF($D92:$D430, D431) &gt; 1, "")</f>
        <v>0</v>
      </c>
      <c r="C431" s="2">
        <v>103131009</v>
      </c>
      <c r="D431" t="s">
        <v>2037</v>
      </c>
      <c r="E431" t="s">
        <v>21</v>
      </c>
      <c r="F431" t="s">
        <v>218</v>
      </c>
      <c r="G431" t="s">
        <v>219</v>
      </c>
      <c r="H431" t="s">
        <v>2551</v>
      </c>
      <c r="I431" t="s">
        <v>2038</v>
      </c>
      <c r="J431" t="s">
        <v>2324</v>
      </c>
      <c r="K431" t="s">
        <v>2324</v>
      </c>
      <c r="L431" t="s">
        <v>1115</v>
      </c>
      <c r="M431" t="s">
        <v>1115</v>
      </c>
      <c r="N431" t="b">
        <v>1</v>
      </c>
      <c r="O431" t="b">
        <v>1</v>
      </c>
      <c r="P431" t="b">
        <v>0</v>
      </c>
    </row>
    <row r="432" spans="1:16" x14ac:dyDescent="0.45">
      <c r="A432" t="s">
        <v>2109</v>
      </c>
      <c r="B432" t="b">
        <f>IF(COUNTIF($D93:$D431, D432) &gt; 1, "")</f>
        <v>0</v>
      </c>
      <c r="C432" s="2">
        <v>103126790</v>
      </c>
      <c r="D432" t="s">
        <v>2039</v>
      </c>
      <c r="E432" t="s">
        <v>21</v>
      </c>
      <c r="F432" t="s">
        <v>523</v>
      </c>
      <c r="G432" t="s">
        <v>524</v>
      </c>
      <c r="H432" t="s">
        <v>753</v>
      </c>
      <c r="I432" t="s">
        <v>754</v>
      </c>
      <c r="J432" t="s">
        <v>2298</v>
      </c>
      <c r="K432" t="s">
        <v>2298</v>
      </c>
      <c r="L432" t="s">
        <v>982</v>
      </c>
      <c r="M432" t="s">
        <v>982</v>
      </c>
      <c r="N432" t="b">
        <v>1</v>
      </c>
      <c r="O432" t="b">
        <v>1</v>
      </c>
      <c r="P432" t="b">
        <v>0</v>
      </c>
    </row>
    <row r="433" spans="1:16" x14ac:dyDescent="0.45">
      <c r="A433" t="s">
        <v>2109</v>
      </c>
      <c r="B433" t="b">
        <f>IF(COUNTIF($D94:$D432, D433) &gt; 1, "")</f>
        <v>0</v>
      </c>
      <c r="C433" s="2">
        <v>103123114</v>
      </c>
      <c r="D433" t="s">
        <v>1720</v>
      </c>
      <c r="E433" t="s">
        <v>21</v>
      </c>
      <c r="F433" t="s">
        <v>1721</v>
      </c>
      <c r="G433" t="s">
        <v>1722</v>
      </c>
      <c r="H433" t="s">
        <v>1723</v>
      </c>
      <c r="I433" t="s">
        <v>1724</v>
      </c>
      <c r="J433" t="s">
        <v>2465</v>
      </c>
      <c r="K433" t="s">
        <v>2521</v>
      </c>
      <c r="L433" t="s">
        <v>1725</v>
      </c>
      <c r="M433" t="s">
        <v>2040</v>
      </c>
      <c r="N433" t="b">
        <v>1</v>
      </c>
      <c r="O433" t="b">
        <v>1</v>
      </c>
      <c r="P433" t="b">
        <v>0</v>
      </c>
    </row>
    <row r="434" spans="1:16" x14ac:dyDescent="0.45">
      <c r="A434" t="s">
        <v>2109</v>
      </c>
      <c r="B434" t="b">
        <f>IF(COUNTIF($D95:$D433, D434) &gt; 1, "")</f>
        <v>0</v>
      </c>
      <c r="C434" s="2">
        <v>103123067</v>
      </c>
      <c r="D434" t="s">
        <v>1435</v>
      </c>
      <c r="E434" t="s">
        <v>21</v>
      </c>
      <c r="F434" t="s">
        <v>1436</v>
      </c>
      <c r="G434" t="s">
        <v>129</v>
      </c>
      <c r="H434" t="s">
        <v>2041</v>
      </c>
      <c r="I434" t="s">
        <v>2042</v>
      </c>
      <c r="J434" t="s">
        <v>2522</v>
      </c>
      <c r="K434" t="s">
        <v>2522</v>
      </c>
      <c r="L434" t="s">
        <v>2043</v>
      </c>
      <c r="M434" t="s">
        <v>2043</v>
      </c>
      <c r="N434" t="b">
        <v>1</v>
      </c>
      <c r="O434" t="b">
        <v>1</v>
      </c>
      <c r="P434" t="b">
        <v>0</v>
      </c>
    </row>
    <row r="435" spans="1:16" x14ac:dyDescent="0.45">
      <c r="A435" t="s">
        <v>2109</v>
      </c>
      <c r="B435" t="b">
        <f>IF(COUNTIF($D96:$D434, D435) &gt; 1, "")</f>
        <v>0</v>
      </c>
      <c r="C435" s="2">
        <v>103122728</v>
      </c>
      <c r="D435" t="s">
        <v>947</v>
      </c>
      <c r="E435" t="s">
        <v>21</v>
      </c>
      <c r="F435" t="s">
        <v>948</v>
      </c>
      <c r="G435" t="s">
        <v>949</v>
      </c>
      <c r="H435" t="s">
        <v>2044</v>
      </c>
      <c r="I435" t="s">
        <v>2045</v>
      </c>
      <c r="J435" t="s">
        <v>2290</v>
      </c>
      <c r="K435" t="s">
        <v>2290</v>
      </c>
      <c r="L435" t="s">
        <v>952</v>
      </c>
      <c r="M435" t="s">
        <v>952</v>
      </c>
      <c r="N435" t="b">
        <v>1</v>
      </c>
      <c r="O435" t="b">
        <v>1</v>
      </c>
      <c r="P435" t="b">
        <v>0</v>
      </c>
    </row>
    <row r="436" spans="1:16" x14ac:dyDescent="0.45">
      <c r="A436" t="s">
        <v>2109</v>
      </c>
      <c r="B436" t="b">
        <f>IF(COUNTIF($D97:$D435, D436) &gt; 1, "")</f>
        <v>0</v>
      </c>
      <c r="C436" s="2">
        <v>103118603</v>
      </c>
      <c r="D436" t="s">
        <v>2046</v>
      </c>
      <c r="E436" t="s">
        <v>21</v>
      </c>
      <c r="F436" t="s">
        <v>2047</v>
      </c>
      <c r="G436" t="s">
        <v>531</v>
      </c>
      <c r="H436" t="s">
        <v>2048</v>
      </c>
      <c r="I436" t="s">
        <v>2049</v>
      </c>
      <c r="J436" t="s">
        <v>2438</v>
      </c>
      <c r="K436" t="s">
        <v>2523</v>
      </c>
      <c r="L436" t="s">
        <v>1608</v>
      </c>
      <c r="M436" t="s">
        <v>2050</v>
      </c>
      <c r="N436" t="b">
        <v>1</v>
      </c>
      <c r="O436" t="b">
        <v>1</v>
      </c>
      <c r="P436" t="b">
        <v>0</v>
      </c>
    </row>
    <row r="437" spans="1:16" x14ac:dyDescent="0.45">
      <c r="A437" t="s">
        <v>2109</v>
      </c>
      <c r="B437" t="b">
        <f>IF(COUNTIF($D98:$D436, D437) &gt; 1, "")</f>
        <v>0</v>
      </c>
      <c r="C437" s="2">
        <v>103118577</v>
      </c>
      <c r="D437" t="s">
        <v>2051</v>
      </c>
      <c r="E437" t="s">
        <v>21</v>
      </c>
      <c r="F437" t="s">
        <v>884</v>
      </c>
      <c r="G437" t="s">
        <v>54</v>
      </c>
      <c r="H437" t="s">
        <v>885</v>
      </c>
      <c r="I437" t="s">
        <v>886</v>
      </c>
      <c r="J437" t="s">
        <v>2278</v>
      </c>
      <c r="K437" t="s">
        <v>2278</v>
      </c>
      <c r="L437" t="s">
        <v>887</v>
      </c>
      <c r="M437" t="s">
        <v>887</v>
      </c>
      <c r="N437" t="b">
        <v>1</v>
      </c>
      <c r="O437" t="b">
        <v>1</v>
      </c>
      <c r="P437" t="b">
        <v>0</v>
      </c>
    </row>
    <row r="438" spans="1:16" x14ac:dyDescent="0.45">
      <c r="A438" t="s">
        <v>2109</v>
      </c>
      <c r="B438" t="b">
        <f>IF(COUNTIF($D99:$D437, D438) &gt; 1, "")</f>
        <v>0</v>
      </c>
      <c r="C438" s="2">
        <v>103111119</v>
      </c>
      <c r="D438" t="s">
        <v>898</v>
      </c>
      <c r="E438" t="s">
        <v>21</v>
      </c>
      <c r="F438" t="s">
        <v>899</v>
      </c>
      <c r="G438" t="s">
        <v>900</v>
      </c>
      <c r="H438" t="s">
        <v>901</v>
      </c>
      <c r="I438" t="s">
        <v>902</v>
      </c>
      <c r="J438" t="s">
        <v>2280</v>
      </c>
      <c r="K438" t="s">
        <v>2280</v>
      </c>
      <c r="L438" t="s">
        <v>903</v>
      </c>
      <c r="M438" t="s">
        <v>903</v>
      </c>
      <c r="N438" t="b">
        <v>1</v>
      </c>
      <c r="O438" t="b">
        <v>1</v>
      </c>
      <c r="P438" t="b">
        <v>0</v>
      </c>
    </row>
    <row r="439" spans="1:16" x14ac:dyDescent="0.45">
      <c r="A439" t="s">
        <v>2109</v>
      </c>
      <c r="B439" t="b">
        <f>IF(COUNTIF($D100:$D438, D439) &gt; 1, "")</f>
        <v>0</v>
      </c>
      <c r="C439" s="2">
        <v>103105576</v>
      </c>
      <c r="D439" t="s">
        <v>877</v>
      </c>
      <c r="E439" t="s">
        <v>21</v>
      </c>
      <c r="F439" t="s">
        <v>878</v>
      </c>
      <c r="G439" t="s">
        <v>879</v>
      </c>
      <c r="H439" t="s">
        <v>2052</v>
      </c>
      <c r="I439" t="s">
        <v>2053</v>
      </c>
      <c r="J439" t="s">
        <v>2524</v>
      </c>
      <c r="K439" t="s">
        <v>2524</v>
      </c>
      <c r="L439" t="s">
        <v>2054</v>
      </c>
      <c r="M439" t="s">
        <v>2054</v>
      </c>
      <c r="N439" t="b">
        <v>1</v>
      </c>
      <c r="O439" t="b">
        <v>1</v>
      </c>
      <c r="P439" t="b">
        <v>0</v>
      </c>
    </row>
    <row r="440" spans="1:16" x14ac:dyDescent="0.45">
      <c r="A440" t="s">
        <v>2109</v>
      </c>
      <c r="B440" t="b">
        <f>IF(COUNTIF($D101:$D439, D440) &gt; 1, "")</f>
        <v>0</v>
      </c>
      <c r="C440" s="2">
        <v>103105385</v>
      </c>
      <c r="D440" t="s">
        <v>2055</v>
      </c>
      <c r="E440" t="s">
        <v>21</v>
      </c>
      <c r="F440" t="s">
        <v>1012</v>
      </c>
      <c r="G440" t="s">
        <v>847</v>
      </c>
      <c r="H440" t="s">
        <v>2056</v>
      </c>
      <c r="I440" t="s">
        <v>2057</v>
      </c>
      <c r="J440" t="s">
        <v>2306</v>
      </c>
      <c r="K440" t="s">
        <v>2306</v>
      </c>
      <c r="L440" t="s">
        <v>1015</v>
      </c>
      <c r="M440" t="s">
        <v>1015</v>
      </c>
      <c r="N440" t="b">
        <v>1</v>
      </c>
      <c r="O440" t="b">
        <v>1</v>
      </c>
      <c r="P440" t="b">
        <v>0</v>
      </c>
    </row>
    <row r="441" spans="1:16" x14ac:dyDescent="0.45">
      <c r="A441" t="s">
        <v>2109</v>
      </c>
      <c r="B441" t="b">
        <f>IF(COUNTIF($D102:$D440, D441) &gt; 1, "")</f>
        <v>0</v>
      </c>
      <c r="C441" s="2">
        <v>103105291</v>
      </c>
      <c r="D441" t="s">
        <v>2058</v>
      </c>
      <c r="E441" t="s">
        <v>21</v>
      </c>
      <c r="F441" t="s">
        <v>523</v>
      </c>
      <c r="G441" t="s">
        <v>524</v>
      </c>
      <c r="H441" t="s">
        <v>2059</v>
      </c>
      <c r="I441" t="s">
        <v>2060</v>
      </c>
      <c r="J441" t="s">
        <v>2249</v>
      </c>
      <c r="K441" t="s">
        <v>2249</v>
      </c>
      <c r="L441" t="s">
        <v>755</v>
      </c>
      <c r="M441" t="s">
        <v>755</v>
      </c>
      <c r="N441" t="b">
        <v>1</v>
      </c>
      <c r="O441" t="b">
        <v>1</v>
      </c>
      <c r="P441" t="b">
        <v>0</v>
      </c>
    </row>
    <row r="442" spans="1:16" x14ac:dyDescent="0.45">
      <c r="A442" t="s">
        <v>2109</v>
      </c>
      <c r="B442" t="b">
        <f>IF(COUNTIF($D103:$D441, D442) &gt; 1, "")</f>
        <v>0</v>
      </c>
      <c r="C442" s="2">
        <v>103105188</v>
      </c>
      <c r="D442" t="s">
        <v>959</v>
      </c>
      <c r="E442" t="s">
        <v>21</v>
      </c>
      <c r="F442" t="s">
        <v>960</v>
      </c>
      <c r="G442" t="s">
        <v>961</v>
      </c>
      <c r="H442" t="s">
        <v>2061</v>
      </c>
      <c r="I442" t="s">
        <v>2062</v>
      </c>
      <c r="J442" t="s">
        <v>2294</v>
      </c>
      <c r="K442" t="s">
        <v>2294</v>
      </c>
      <c r="L442" t="s">
        <v>965</v>
      </c>
      <c r="M442" t="s">
        <v>965</v>
      </c>
      <c r="N442" t="b">
        <v>1</v>
      </c>
      <c r="O442" t="b">
        <v>1</v>
      </c>
      <c r="P442" t="b">
        <v>0</v>
      </c>
    </row>
    <row r="443" spans="1:16" x14ac:dyDescent="0.45">
      <c r="A443" t="s">
        <v>2109</v>
      </c>
      <c r="B443" t="b">
        <f>IF(COUNTIF($D104:$D442, D443) &gt; 1, "")</f>
        <v>0</v>
      </c>
      <c r="C443" s="2">
        <v>103102560</v>
      </c>
      <c r="D443" t="s">
        <v>2063</v>
      </c>
      <c r="E443" t="s">
        <v>21</v>
      </c>
      <c r="F443" t="s">
        <v>536</v>
      </c>
      <c r="G443" t="s">
        <v>228</v>
      </c>
      <c r="H443" t="s">
        <v>1081</v>
      </c>
      <c r="I443" t="s">
        <v>1082</v>
      </c>
      <c r="J443" t="s">
        <v>2320</v>
      </c>
      <c r="K443" t="s">
        <v>2320</v>
      </c>
      <c r="L443" t="s">
        <v>1083</v>
      </c>
      <c r="M443" t="s">
        <v>1083</v>
      </c>
      <c r="N443" t="b">
        <v>1</v>
      </c>
      <c r="O443" t="b">
        <v>1</v>
      </c>
      <c r="P443" t="b">
        <v>0</v>
      </c>
    </row>
    <row r="444" spans="1:16" x14ac:dyDescent="0.45">
      <c r="A444" t="s">
        <v>2109</v>
      </c>
      <c r="B444" t="b">
        <f>IF(COUNTIF($D105:$D443, D444) &gt; 1, "")</f>
        <v>0</v>
      </c>
      <c r="C444" s="2">
        <v>103102544</v>
      </c>
      <c r="D444" t="s">
        <v>2064</v>
      </c>
      <c r="E444" t="s">
        <v>21</v>
      </c>
      <c r="F444" t="s">
        <v>1085</v>
      </c>
      <c r="G444" t="s">
        <v>396</v>
      </c>
      <c r="H444" t="s">
        <v>2065</v>
      </c>
      <c r="I444" t="s">
        <v>2066</v>
      </c>
      <c r="J444" t="s">
        <v>2320</v>
      </c>
      <c r="K444" t="s">
        <v>2320</v>
      </c>
      <c r="L444" t="s">
        <v>1083</v>
      </c>
      <c r="M444" t="s">
        <v>1083</v>
      </c>
      <c r="N444" t="b">
        <v>1</v>
      </c>
      <c r="O444" t="b">
        <v>1</v>
      </c>
      <c r="P444" t="b">
        <v>0</v>
      </c>
    </row>
    <row r="445" spans="1:16" x14ac:dyDescent="0.45">
      <c r="A445" t="s">
        <v>2109</v>
      </c>
      <c r="B445" t="b">
        <f>IF(COUNTIF($D106:$D444, D445) &gt; 1, "")</f>
        <v>0</v>
      </c>
      <c r="C445" s="2">
        <v>103102142</v>
      </c>
      <c r="D445" t="s">
        <v>2067</v>
      </c>
      <c r="E445" t="s">
        <v>21</v>
      </c>
      <c r="F445" t="s">
        <v>763</v>
      </c>
      <c r="G445" t="s">
        <v>764</v>
      </c>
      <c r="H445" t="s">
        <v>2552</v>
      </c>
      <c r="I445" t="s">
        <v>766</v>
      </c>
      <c r="J445">
        <v>1036449181</v>
      </c>
      <c r="K445" t="s">
        <v>2525</v>
      </c>
      <c r="L445" t="s">
        <v>2068</v>
      </c>
      <c r="M445" t="s">
        <v>2068</v>
      </c>
      <c r="N445" t="b">
        <v>1</v>
      </c>
      <c r="O445" t="b">
        <v>1</v>
      </c>
      <c r="P445" t="b">
        <v>0</v>
      </c>
    </row>
    <row r="446" spans="1:16" x14ac:dyDescent="0.45">
      <c r="A446" t="s">
        <v>2109</v>
      </c>
      <c r="B446" t="b">
        <f>IF(COUNTIF($D107:$D445, D446) &gt; 1, "")</f>
        <v>0</v>
      </c>
      <c r="C446" s="2">
        <v>103093344</v>
      </c>
      <c r="D446" t="s">
        <v>2069</v>
      </c>
      <c r="E446" t="s">
        <v>21</v>
      </c>
      <c r="F446" t="s">
        <v>2070</v>
      </c>
      <c r="G446" t="s">
        <v>2071</v>
      </c>
      <c r="H446" t="s">
        <v>2072</v>
      </c>
      <c r="I446" t="s">
        <v>2073</v>
      </c>
      <c r="J446" t="s">
        <v>2526</v>
      </c>
      <c r="K446" t="s">
        <v>2112</v>
      </c>
      <c r="L446" t="s">
        <v>2074</v>
      </c>
      <c r="M446" t="s">
        <v>18</v>
      </c>
      <c r="N446" t="b">
        <v>1</v>
      </c>
      <c r="O446" t="b">
        <v>1</v>
      </c>
      <c r="P446" t="b">
        <v>0</v>
      </c>
    </row>
    <row r="447" spans="1:16" x14ac:dyDescent="0.45">
      <c r="A447" t="s">
        <v>2109</v>
      </c>
      <c r="B447" t="str">
        <f>IF(COUNTIF($D108:$D446, D447) &gt; 1, "")</f>
        <v/>
      </c>
      <c r="C447" s="2">
        <v>103089560</v>
      </c>
      <c r="D447" t="s">
        <v>633</v>
      </c>
      <c r="E447" t="s">
        <v>21</v>
      </c>
      <c r="F447" t="s">
        <v>634</v>
      </c>
      <c r="G447" t="s">
        <v>129</v>
      </c>
      <c r="H447" t="s">
        <v>2075</v>
      </c>
      <c r="I447" t="s">
        <v>2076</v>
      </c>
      <c r="J447" t="s">
        <v>2205</v>
      </c>
      <c r="K447" t="s">
        <v>2205</v>
      </c>
      <c r="L447" t="s">
        <v>527</v>
      </c>
      <c r="M447" t="s">
        <v>527</v>
      </c>
      <c r="N447" t="b">
        <v>1</v>
      </c>
      <c r="O447" t="b">
        <v>1</v>
      </c>
      <c r="P447" t="b">
        <v>0</v>
      </c>
    </row>
    <row r="448" spans="1:16" x14ac:dyDescent="0.45">
      <c r="A448" t="s">
        <v>2109</v>
      </c>
      <c r="B448" t="b">
        <f>IF(COUNTIF($D109:$D447, D448) &gt; 1, "")</f>
        <v>0</v>
      </c>
      <c r="C448" s="2">
        <v>103084280</v>
      </c>
      <c r="D448" t="s">
        <v>2077</v>
      </c>
      <c r="E448" t="s">
        <v>21</v>
      </c>
      <c r="F448" t="s">
        <v>350</v>
      </c>
      <c r="G448" t="s">
        <v>351</v>
      </c>
      <c r="H448" t="s">
        <v>2078</v>
      </c>
      <c r="I448" t="s">
        <v>2079</v>
      </c>
      <c r="J448" t="s">
        <v>2286</v>
      </c>
      <c r="K448" t="s">
        <v>2286</v>
      </c>
      <c r="L448" t="s">
        <v>929</v>
      </c>
      <c r="M448" t="s">
        <v>929</v>
      </c>
      <c r="N448" t="b">
        <v>1</v>
      </c>
      <c r="O448" t="b">
        <v>1</v>
      </c>
      <c r="P448" t="b">
        <v>0</v>
      </c>
    </row>
    <row r="449" spans="1:16" x14ac:dyDescent="0.45">
      <c r="A449" t="s">
        <v>2109</v>
      </c>
      <c r="B449" t="b">
        <f>IF(COUNTIF($D110:$D448, D449) &gt; 1, "")</f>
        <v>0</v>
      </c>
      <c r="C449" s="2">
        <v>102004742</v>
      </c>
      <c r="D449" t="s">
        <v>2080</v>
      </c>
      <c r="E449" t="s">
        <v>21</v>
      </c>
      <c r="F449" t="s">
        <v>2081</v>
      </c>
      <c r="G449" t="s">
        <v>146</v>
      </c>
      <c r="H449" t="s">
        <v>2082</v>
      </c>
      <c r="I449" t="s">
        <v>2083</v>
      </c>
      <c r="J449" t="s">
        <v>2112</v>
      </c>
      <c r="K449" t="s">
        <v>2112</v>
      </c>
      <c r="L449" t="s">
        <v>18</v>
      </c>
      <c r="M449" t="s">
        <v>18</v>
      </c>
      <c r="N449" t="b">
        <v>1</v>
      </c>
      <c r="O449" t="b">
        <v>1</v>
      </c>
      <c r="P449" t="b">
        <v>0</v>
      </c>
    </row>
    <row r="450" spans="1:16" x14ac:dyDescent="0.45">
      <c r="A450" t="s">
        <v>2109</v>
      </c>
      <c r="B450" t="b">
        <f>IF(COUNTIF($D111:$D449, D450) &gt; 1, "")</f>
        <v>0</v>
      </c>
      <c r="C450" s="2">
        <v>101959472</v>
      </c>
      <c r="D450" t="s">
        <v>2084</v>
      </c>
      <c r="E450" t="s">
        <v>21</v>
      </c>
      <c r="F450" t="s">
        <v>2085</v>
      </c>
      <c r="G450" t="s">
        <v>207</v>
      </c>
      <c r="H450" t="s">
        <v>2086</v>
      </c>
      <c r="I450" t="s">
        <v>2087</v>
      </c>
      <c r="J450" t="s">
        <v>2527</v>
      </c>
      <c r="K450" t="s">
        <v>2112</v>
      </c>
      <c r="L450" t="s">
        <v>2088</v>
      </c>
      <c r="M450" t="s">
        <v>18</v>
      </c>
      <c r="N450" t="b">
        <v>1</v>
      </c>
      <c r="O450" t="b">
        <v>1</v>
      </c>
      <c r="P450" t="b">
        <v>0</v>
      </c>
    </row>
    <row r="451" spans="1:16" x14ac:dyDescent="0.45">
      <c r="A451" t="s">
        <v>2109</v>
      </c>
      <c r="B451" t="b">
        <f>IF(COUNTIF($D112:$D450, D451) &gt; 1, "")</f>
        <v>0</v>
      </c>
      <c r="C451" s="2">
        <v>101959377</v>
      </c>
      <c r="D451" t="s">
        <v>2089</v>
      </c>
      <c r="E451" t="s">
        <v>21</v>
      </c>
      <c r="F451" t="s">
        <v>2090</v>
      </c>
      <c r="G451" t="s">
        <v>2091</v>
      </c>
      <c r="H451" t="s">
        <v>2553</v>
      </c>
      <c r="I451" t="s">
        <v>2092</v>
      </c>
      <c r="J451" t="s">
        <v>2528</v>
      </c>
      <c r="K451" t="s">
        <v>2112</v>
      </c>
      <c r="L451" t="s">
        <v>2093</v>
      </c>
      <c r="M451" t="s">
        <v>18</v>
      </c>
      <c r="N451" t="b">
        <v>1</v>
      </c>
      <c r="O451" t="b">
        <v>1</v>
      </c>
      <c r="P451" t="b">
        <v>0</v>
      </c>
    </row>
    <row r="452" spans="1:16" x14ac:dyDescent="0.45">
      <c r="A452" t="s">
        <v>2109</v>
      </c>
      <c r="B452" t="b">
        <f>IF(COUNTIF($D113:$D451, D452) &gt; 1, "")</f>
        <v>0</v>
      </c>
      <c r="C452" s="2">
        <v>101956019</v>
      </c>
      <c r="D452" t="s">
        <v>2094</v>
      </c>
      <c r="E452" t="s">
        <v>21</v>
      </c>
      <c r="F452" t="s">
        <v>2095</v>
      </c>
      <c r="G452" t="s">
        <v>257</v>
      </c>
      <c r="H452" t="s">
        <v>2096</v>
      </c>
      <c r="I452" t="s">
        <v>2097</v>
      </c>
      <c r="J452" t="s">
        <v>2529</v>
      </c>
      <c r="K452" t="s">
        <v>2112</v>
      </c>
      <c r="L452" t="s">
        <v>2098</v>
      </c>
      <c r="M452" t="s">
        <v>18</v>
      </c>
      <c r="N452" t="b">
        <v>1</v>
      </c>
      <c r="O452" t="b">
        <v>1</v>
      </c>
      <c r="P452" t="b">
        <v>0</v>
      </c>
    </row>
    <row r="453" spans="1:16" x14ac:dyDescent="0.45">
      <c r="A453" t="s">
        <v>2109</v>
      </c>
      <c r="B453" t="b">
        <f>IF(COUNTIF($D114:$D452, D453) &gt; 1, "")</f>
        <v>0</v>
      </c>
      <c r="C453" s="2">
        <v>101860406</v>
      </c>
      <c r="D453" t="s">
        <v>2099</v>
      </c>
      <c r="E453" t="s">
        <v>21</v>
      </c>
      <c r="F453" t="s">
        <v>2100</v>
      </c>
      <c r="G453" t="s">
        <v>2101</v>
      </c>
      <c r="H453" t="s">
        <v>2102</v>
      </c>
      <c r="I453" t="s">
        <v>2103</v>
      </c>
      <c r="J453" t="s">
        <v>2530</v>
      </c>
      <c r="K453" t="s">
        <v>2530</v>
      </c>
      <c r="L453" t="s">
        <v>2104</v>
      </c>
      <c r="M453" t="s">
        <v>2104</v>
      </c>
      <c r="N453" t="b">
        <v>1</v>
      </c>
      <c r="O453" t="b">
        <v>1</v>
      </c>
      <c r="P453" t="b">
        <v>0</v>
      </c>
    </row>
    <row r="454" spans="1:16" x14ac:dyDescent="0.45">
      <c r="A454" t="s">
        <v>2109</v>
      </c>
      <c r="B454" t="b">
        <f>IF(COUNTIF($D115:$D453, D454) &gt; 1, "")</f>
        <v>0</v>
      </c>
      <c r="C454" s="2">
        <v>101571440</v>
      </c>
      <c r="D454" t="s">
        <v>2105</v>
      </c>
      <c r="E454" t="s">
        <v>21</v>
      </c>
      <c r="F454" t="s">
        <v>812</v>
      </c>
      <c r="G454" t="s">
        <v>813</v>
      </c>
      <c r="H454" t="s">
        <v>2106</v>
      </c>
      <c r="I454" t="s">
        <v>2107</v>
      </c>
      <c r="J454" t="s">
        <v>2531</v>
      </c>
      <c r="K454" t="s">
        <v>2531</v>
      </c>
      <c r="L454" t="s">
        <v>2108</v>
      </c>
      <c r="M454" t="s">
        <v>2108</v>
      </c>
      <c r="N454" t="b">
        <v>1</v>
      </c>
      <c r="O454" t="b">
        <v>1</v>
      </c>
      <c r="P454" t="b">
        <v>0</v>
      </c>
    </row>
  </sheetData>
  <phoneticPr fontId="2" type="noConversion"/>
  <conditionalFormatting sqref="D342:D454">
    <cfRule type="duplicateValues" dxfId="3" priority="3"/>
    <cfRule type="duplicateValues" dxfId="2" priority="4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월드스카이</cp:lastModifiedBy>
  <dcterms:created xsi:type="dcterms:W3CDTF">2025-11-18T15:04:53Z</dcterms:created>
  <dcterms:modified xsi:type="dcterms:W3CDTF">2025-11-18T18:01:25Z</dcterms:modified>
</cp:coreProperties>
</file>